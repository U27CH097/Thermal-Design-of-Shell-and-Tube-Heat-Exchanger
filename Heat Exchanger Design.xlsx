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t\Desktop\"/>
    </mc:Choice>
  </mc:AlternateContent>
  <xr:revisionPtr revIDLastSave="0" documentId="8_{4083E8E0-1083-47EA-9626-455E32D971C2}" xr6:coauthVersionLast="47" xr6:coauthVersionMax="47" xr10:uidLastSave="{00000000-0000-0000-0000-000000000000}"/>
  <bookViews>
    <workbookView xWindow="-108" yWindow="-108" windowWidth="23256" windowHeight="12456" xr2:uid="{C4715DD5-3037-44A6-8872-C43B966B2B1F}"/>
  </bookViews>
  <sheets>
    <sheet name="Project Final" sheetId="1" r:id="rId1"/>
  </sheets>
  <externalReferences>
    <externalReference r:id="rId2"/>
  </externalReferences>
  <calcPr calcId="191029" iterate="1" iterateCount="10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8" i="1" l="1"/>
  <c r="F187" i="1"/>
  <c r="D187" i="1"/>
  <c r="C187" i="1"/>
  <c r="D186" i="1"/>
  <c r="C186" i="1"/>
  <c r="D185" i="1"/>
  <c r="C185" i="1"/>
  <c r="F184" i="1"/>
  <c r="C184" i="1"/>
  <c r="G183" i="1"/>
  <c r="D183" i="1"/>
  <c r="D182" i="1"/>
  <c r="C170" i="1"/>
  <c r="C165" i="1"/>
  <c r="C141" i="1"/>
  <c r="C137" i="1"/>
  <c r="C131" i="1"/>
  <c r="C127" i="1"/>
  <c r="C120" i="1"/>
  <c r="D111" i="1"/>
  <c r="C111" i="1"/>
  <c r="D110" i="1"/>
  <c r="C110" i="1"/>
  <c r="D109" i="1"/>
  <c r="C109" i="1"/>
  <c r="C116" i="1" s="1"/>
  <c r="D108" i="1"/>
  <c r="C108" i="1"/>
  <c r="C104" i="1"/>
  <c r="C96" i="1"/>
  <c r="C91" i="1"/>
  <c r="C90" i="1"/>
  <c r="C89" i="1"/>
  <c r="C82" i="1"/>
  <c r="C76" i="1"/>
  <c r="C118" i="1" s="1"/>
  <c r="G74" i="1"/>
  <c r="C58" i="1"/>
  <c r="G57" i="1"/>
  <c r="G59" i="1" s="1"/>
  <c r="C55" i="1"/>
  <c r="C54" i="1"/>
  <c r="C57" i="1" s="1"/>
  <c r="C27" i="1"/>
  <c r="C29" i="1" s="1"/>
  <c r="L25" i="1"/>
  <c r="K25" i="1"/>
  <c r="K24" i="1"/>
  <c r="N22" i="1"/>
  <c r="M22" i="1"/>
  <c r="K22" i="1"/>
  <c r="J22" i="1"/>
  <c r="E19" i="1"/>
  <c r="C19" i="1"/>
  <c r="N16" i="1"/>
  <c r="M16" i="1"/>
  <c r="K16" i="1"/>
  <c r="J16" i="1"/>
  <c r="C39" i="1" s="1"/>
  <c r="L13" i="1"/>
  <c r="K13" i="1"/>
  <c r="K12" i="1"/>
  <c r="C59" i="1" l="1"/>
  <c r="C61" i="1" s="1"/>
  <c r="C30" i="1"/>
  <c r="C64" i="1"/>
  <c r="C84" i="1" s="1"/>
  <c r="G73" i="1"/>
  <c r="C93" i="1" l="1"/>
  <c r="C190" i="1"/>
  <c r="C85" i="1"/>
  <c r="C182" i="1" s="1"/>
  <c r="C105" i="1"/>
  <c r="C106" i="1" s="1"/>
  <c r="C113" i="1" s="1"/>
  <c r="C115" i="1" l="1"/>
  <c r="C122" i="1" s="1"/>
  <c r="C191" i="1" s="1"/>
  <c r="C166" i="1"/>
  <c r="C167" i="1" s="1"/>
  <c r="C192" i="1" s="1"/>
  <c r="C98" i="1"/>
  <c r="C189" i="1"/>
  <c r="F185" i="1" l="1"/>
  <c r="C126" i="1"/>
  <c r="F186" i="1" s="1"/>
  <c r="C129" i="1"/>
  <c r="C133" i="1" s="1"/>
  <c r="C135" i="1" s="1"/>
  <c r="C143" i="1" s="1"/>
  <c r="F191" i="1" l="1"/>
  <c r="C150" i="1"/>
  <c r="C151" i="1" s="1"/>
  <c r="C171" i="1"/>
  <c r="C172" i="1" s="1"/>
  <c r="F192" i="1" s="1"/>
  <c r="D158" i="1" l="1"/>
  <c r="F183" i="1" s="1"/>
  <c r="C152" i="1"/>
  <c r="C183" i="1"/>
</calcChain>
</file>

<file path=xl/sharedStrings.xml><?xml version="1.0" encoding="utf-8"?>
<sst xmlns="http://schemas.openxmlformats.org/spreadsheetml/2006/main" count="258" uniqueCount="172">
  <si>
    <t>Hot Fluid</t>
  </si>
  <si>
    <t>Cold Fluid</t>
  </si>
  <si>
    <t>Name</t>
  </si>
  <si>
    <t>MeOH Cond.</t>
  </si>
  <si>
    <t>Brackish Water</t>
  </si>
  <si>
    <t>Hot Fluid:</t>
  </si>
  <si>
    <t>mass flow</t>
  </si>
  <si>
    <t>kg/h</t>
  </si>
  <si>
    <t>-</t>
  </si>
  <si>
    <t>Mass flow:</t>
  </si>
  <si>
    <t>Inlet Temp.</t>
  </si>
  <si>
    <t>degC</t>
  </si>
  <si>
    <t>Outlet Temp.</t>
  </si>
  <si>
    <t>T_in</t>
  </si>
  <si>
    <t>T_out</t>
  </si>
  <si>
    <r>
      <t xml:space="preserve">Allow. </t>
    </r>
    <r>
      <rPr>
        <sz val="11"/>
        <color theme="1"/>
        <rFont val="Calibri"/>
        <family val="2"/>
      </rPr>
      <t>Δ</t>
    </r>
    <r>
      <rPr>
        <sz val="11"/>
        <color theme="1"/>
        <rFont val="Roboto Condensed Light"/>
      </rPr>
      <t>P</t>
    </r>
  </si>
  <si>
    <t>bar</t>
  </si>
  <si>
    <t>Fouling Resist.</t>
  </si>
  <si>
    <r>
      <t>(W/m</t>
    </r>
    <r>
      <rPr>
        <vertAlign val="superscript"/>
        <sz val="11"/>
        <color theme="1"/>
        <rFont val="Roboto Condensed Light"/>
      </rPr>
      <t>2</t>
    </r>
    <r>
      <rPr>
        <sz val="11"/>
        <color theme="1"/>
        <rFont val="Roboto Condensed Light"/>
      </rPr>
      <t>C)</t>
    </r>
    <r>
      <rPr>
        <vertAlign val="superscript"/>
        <sz val="11"/>
        <color theme="1"/>
        <rFont val="Roboto Condensed Light"/>
      </rPr>
      <t xml:space="preserve">-1 </t>
    </r>
  </si>
  <si>
    <t>(Ref. Table)</t>
  </si>
  <si>
    <t>Physical Properties</t>
  </si>
  <si>
    <t>Cp</t>
  </si>
  <si>
    <r>
      <t>kJ/kg</t>
    </r>
    <r>
      <rPr>
        <vertAlign val="superscript"/>
        <sz val="11"/>
        <color theme="1"/>
        <rFont val="Roboto Condensed Light"/>
      </rPr>
      <t>o</t>
    </r>
    <r>
      <rPr>
        <sz val="11"/>
        <color theme="1"/>
        <rFont val="Roboto Condensed Light"/>
      </rPr>
      <t>C</t>
    </r>
  </si>
  <si>
    <t>μ</t>
  </si>
  <si>
    <r>
      <t>mNs/m</t>
    </r>
    <r>
      <rPr>
        <vertAlign val="superscript"/>
        <sz val="11"/>
        <color theme="1"/>
        <rFont val="Roboto Condensed Light"/>
      </rPr>
      <t>2</t>
    </r>
  </si>
  <si>
    <t>t_out</t>
  </si>
  <si>
    <t>t_in</t>
  </si>
  <si>
    <t>k</t>
  </si>
  <si>
    <r>
      <t>W/m</t>
    </r>
    <r>
      <rPr>
        <vertAlign val="superscript"/>
        <sz val="11"/>
        <color theme="1"/>
        <rFont val="Roboto Condensed Light"/>
      </rPr>
      <t>o</t>
    </r>
    <r>
      <rPr>
        <sz val="11"/>
        <color theme="1"/>
        <rFont val="Roboto Condensed Light"/>
      </rPr>
      <t>C</t>
    </r>
  </si>
  <si>
    <t>ρ</t>
  </si>
  <si>
    <r>
      <t>kg/m</t>
    </r>
    <r>
      <rPr>
        <vertAlign val="superscript"/>
        <sz val="11"/>
        <color theme="1"/>
        <rFont val="Roboto Condensed Light"/>
      </rPr>
      <t>3</t>
    </r>
  </si>
  <si>
    <t>Cold Fluid:</t>
  </si>
  <si>
    <r>
      <t>Step 1</t>
    </r>
    <r>
      <rPr>
        <b/>
        <i/>
        <sz val="16"/>
        <color theme="1"/>
        <rFont val="Roboto Condensed Light"/>
      </rPr>
      <t xml:space="preserve"> Define duty</t>
    </r>
  </si>
  <si>
    <t>Heat Load, Q</t>
  </si>
  <si>
    <t>kW</t>
  </si>
  <si>
    <t xml:space="preserve">Cold Fluid Flowrate </t>
  </si>
  <si>
    <t>kg/s</t>
  </si>
  <si>
    <r>
      <t>Step 2</t>
    </r>
    <r>
      <rPr>
        <b/>
        <i/>
        <sz val="16"/>
        <color theme="1"/>
        <rFont val="Roboto Condensed Light"/>
      </rPr>
      <t xml:space="preserve"> Collect physical Properties</t>
    </r>
  </si>
  <si>
    <t>Already collected all the physical properties above.</t>
  </si>
  <si>
    <r>
      <t>Step 3</t>
    </r>
    <r>
      <rPr>
        <b/>
        <i/>
        <sz val="16"/>
        <color theme="1"/>
        <rFont val="Roboto Condensed Light"/>
      </rPr>
      <t xml:space="preserve"> Assume U</t>
    </r>
  </si>
  <si>
    <t>Assumed U</t>
  </si>
  <si>
    <r>
      <t>W/m</t>
    </r>
    <r>
      <rPr>
        <vertAlign val="superscript"/>
        <sz val="11"/>
        <color theme="1"/>
        <rFont val="Roboto Condensed Light"/>
      </rPr>
      <t>2 o</t>
    </r>
    <r>
      <rPr>
        <sz val="11"/>
        <color theme="1"/>
        <rFont val="Roboto Condensed Light"/>
      </rPr>
      <t>C</t>
    </r>
  </si>
  <si>
    <t>(Ref. Figure)</t>
  </si>
  <si>
    <r>
      <t>Step 4</t>
    </r>
    <r>
      <rPr>
        <b/>
        <i/>
        <sz val="16"/>
        <color theme="1"/>
        <rFont val="Roboto Condensed Light"/>
      </rPr>
      <t xml:space="preserve"> Decide shell-tube passes. Calculate true temperature difference</t>
    </r>
  </si>
  <si>
    <r>
      <rPr>
        <sz val="12"/>
        <color theme="1"/>
        <rFont val="Calibri"/>
        <family val="2"/>
      </rPr>
      <t>Δ</t>
    </r>
    <r>
      <rPr>
        <sz val="12"/>
        <color theme="1"/>
        <rFont val="Roboto Condensed Light"/>
      </rPr>
      <t>T</t>
    </r>
    <r>
      <rPr>
        <vertAlign val="subscript"/>
        <sz val="12"/>
        <color theme="1"/>
        <rFont val="Roboto Condensed Light"/>
      </rPr>
      <t>lm</t>
    </r>
  </si>
  <si>
    <r>
      <rPr>
        <vertAlign val="superscript"/>
        <sz val="11"/>
        <color theme="1"/>
        <rFont val="Roboto Condensed Light"/>
      </rPr>
      <t>o</t>
    </r>
    <r>
      <rPr>
        <sz val="11"/>
        <color theme="1"/>
        <rFont val="Roboto Condensed Light"/>
      </rPr>
      <t>C</t>
    </r>
  </si>
  <si>
    <t>(log mean temperature difference)</t>
  </si>
  <si>
    <t>At this point, we make design decision about shell-tube passes:</t>
  </si>
  <si>
    <t>Using one shell pass and two tube passess</t>
  </si>
  <si>
    <t>In multi-pass arrangement, to account for deviation from true counter current flow, correction factor Ft has to be estimated.</t>
  </si>
  <si>
    <r>
      <rPr>
        <sz val="12"/>
        <color theme="1"/>
        <rFont val="Calibri"/>
        <family val="2"/>
      </rPr>
      <t>Δ</t>
    </r>
    <r>
      <rPr>
        <sz val="12"/>
        <color theme="1"/>
        <rFont val="Roboto Condensed Light"/>
      </rPr>
      <t>T</t>
    </r>
    <r>
      <rPr>
        <vertAlign val="subscript"/>
        <sz val="12"/>
        <color theme="1"/>
        <rFont val="Roboto Condensed Light"/>
      </rPr>
      <t>m</t>
    </r>
    <r>
      <rPr>
        <sz val="12"/>
        <color theme="1"/>
        <rFont val="Roboto Condensed Light"/>
        <family val="2"/>
      </rPr>
      <t xml:space="preserve"> is "true temperature difference"</t>
    </r>
  </si>
  <si>
    <r>
      <rPr>
        <sz val="12"/>
        <color theme="1"/>
        <rFont val="Calibri"/>
        <family val="2"/>
      </rPr>
      <t>Δ</t>
    </r>
    <r>
      <rPr>
        <sz val="12"/>
        <color theme="1"/>
        <rFont val="Roboto Condensed Light"/>
      </rPr>
      <t>T</t>
    </r>
    <r>
      <rPr>
        <vertAlign val="subscript"/>
        <sz val="12"/>
        <color theme="1"/>
        <rFont val="Roboto Condensed Light"/>
      </rPr>
      <t>m</t>
    </r>
    <r>
      <rPr>
        <sz val="12"/>
        <color theme="1"/>
        <rFont val="Roboto Condensed Light"/>
        <family val="2"/>
      </rPr>
      <t xml:space="preserve"> = Ft ΔT</t>
    </r>
    <r>
      <rPr>
        <vertAlign val="subscript"/>
        <sz val="12"/>
        <color theme="1"/>
        <rFont val="Roboto Condensed Light"/>
      </rPr>
      <t>lm</t>
    </r>
  </si>
  <si>
    <t>N (Shell Passes)</t>
  </si>
  <si>
    <t>M (Tube Passes)</t>
  </si>
  <si>
    <t>P</t>
  </si>
  <si>
    <t>R</t>
  </si>
  <si>
    <t>When R = 1, then</t>
  </si>
  <si>
    <t>W</t>
  </si>
  <si>
    <t>W'</t>
  </si>
  <si>
    <t>S</t>
  </si>
  <si>
    <t>F</t>
  </si>
  <si>
    <r>
      <rPr>
        <sz val="12"/>
        <color theme="1"/>
        <rFont val="Calibri"/>
        <family val="2"/>
      </rPr>
      <t>Δ</t>
    </r>
    <r>
      <rPr>
        <sz val="12"/>
        <color theme="1"/>
        <rFont val="Roboto Condensed Light"/>
      </rPr>
      <t>T</t>
    </r>
    <r>
      <rPr>
        <vertAlign val="subscript"/>
        <sz val="12"/>
        <color theme="1"/>
        <rFont val="Roboto Condensed Light"/>
      </rPr>
      <t>m</t>
    </r>
  </si>
  <si>
    <r>
      <t>Step 5</t>
    </r>
    <r>
      <rPr>
        <b/>
        <i/>
        <sz val="16"/>
        <color theme="1"/>
        <rFont val="Roboto Condensed Light"/>
      </rPr>
      <t xml:space="preserve"> Determine heat transfer area</t>
    </r>
  </si>
  <si>
    <t xml:space="preserve">Area, A </t>
  </si>
  <si>
    <t>m2</t>
  </si>
  <si>
    <t>(provisional area)</t>
  </si>
  <si>
    <r>
      <t>Step 6</t>
    </r>
    <r>
      <rPr>
        <b/>
        <i/>
        <sz val="16"/>
        <color theme="1"/>
        <rFont val="Roboto Condensed Light"/>
      </rPr>
      <t xml:space="preserve"> Fluid allocation, tube size, tube pitch, tube material etc.</t>
    </r>
  </si>
  <si>
    <t>At this point, we will make a decision regarding hot &amp; Cold fluid allocation.</t>
  </si>
  <si>
    <t>Since cold fluid is corrosive, assign it on tube side</t>
  </si>
  <si>
    <t>Consider following specs for tubes:</t>
  </si>
  <si>
    <t>Tube OD</t>
  </si>
  <si>
    <t>mm</t>
  </si>
  <si>
    <t>-----   3/4"</t>
  </si>
  <si>
    <t>Tube ID</t>
  </si>
  <si>
    <t>Tube Length</t>
  </si>
  <si>
    <t>m</t>
  </si>
  <si>
    <t>-----    16'</t>
  </si>
  <si>
    <t>Tube Matertial</t>
  </si>
  <si>
    <t>cupro-nickel</t>
  </si>
  <si>
    <t>Tubesheet thickness</t>
  </si>
  <si>
    <t>Tube effective L</t>
  </si>
  <si>
    <t>Tube pitch</t>
  </si>
  <si>
    <t>Triangular</t>
  </si>
  <si>
    <r>
      <t>Step 7</t>
    </r>
    <r>
      <rPr>
        <b/>
        <i/>
        <sz val="16"/>
        <color theme="1"/>
        <rFont val="Roboto Condensed Light"/>
      </rPr>
      <t xml:space="preserve"> Calculate number of tubes</t>
    </r>
  </si>
  <si>
    <t>Area of one tube</t>
  </si>
  <si>
    <t># of tubes</t>
  </si>
  <si>
    <t>&lt;-- Formula is placed to get even number of tubes</t>
  </si>
  <si>
    <t>Area considered</t>
  </si>
  <si>
    <r>
      <t>Step 8</t>
    </r>
    <r>
      <rPr>
        <b/>
        <i/>
        <sz val="16"/>
        <color theme="1"/>
        <rFont val="Roboto Condensed Light"/>
      </rPr>
      <t xml:space="preserve"> Calculate shell diameter</t>
    </r>
  </si>
  <si>
    <t>Constants Table for bundle diameter calculations - Triangular pitch pt = 1.25do</t>
  </si>
  <si>
    <t>No. of tube passes</t>
  </si>
  <si>
    <t>K1</t>
  </si>
  <si>
    <t>Tube passes</t>
  </si>
  <si>
    <t>n1</t>
  </si>
  <si>
    <t>Constants Table for bundle diameter calculations - Square pitch pt = 1.25do</t>
  </si>
  <si>
    <t>Bundle dia., Db</t>
  </si>
  <si>
    <t>Using Split-ring floating head type heat exchanger.</t>
  </si>
  <si>
    <t>Bundle clearance</t>
  </si>
  <si>
    <t>Shell diameter, Ds</t>
  </si>
  <si>
    <r>
      <t>Step 9</t>
    </r>
    <r>
      <rPr>
        <b/>
        <i/>
        <sz val="16"/>
        <color theme="1"/>
        <rFont val="Roboto Condensed Light"/>
      </rPr>
      <t xml:space="preserve"> Tube-side heat transfer coefficient</t>
    </r>
  </si>
  <si>
    <t>Tube c/s area</t>
  </si>
  <si>
    <t>Tubes per pass</t>
  </si>
  <si>
    <t>Total flow area</t>
  </si>
  <si>
    <t>Sp. Heat</t>
  </si>
  <si>
    <t>Viscosity</t>
  </si>
  <si>
    <t>Thermal conductivity</t>
  </si>
  <si>
    <t>Density</t>
  </si>
  <si>
    <t>Tube velocity</t>
  </si>
  <si>
    <t>m/s</t>
  </si>
  <si>
    <t>NRe</t>
  </si>
  <si>
    <t>NPr</t>
  </si>
  <si>
    <t>L/di</t>
  </si>
  <si>
    <t>jh</t>
  </si>
  <si>
    <t>hi</t>
  </si>
  <si>
    <t>W/m2oC</t>
  </si>
  <si>
    <r>
      <t>Step 10</t>
    </r>
    <r>
      <rPr>
        <b/>
        <i/>
        <sz val="16"/>
        <color theme="1"/>
        <rFont val="Roboto Condensed Light"/>
      </rPr>
      <t xml:space="preserve"> Baffle spacing &amp; Shell-side heat transfer coefficient </t>
    </r>
  </si>
  <si>
    <t>Baffle Spacing</t>
  </si>
  <si>
    <t xml:space="preserve">Typical rule of thumb: </t>
  </si>
  <si>
    <t>Min. baffle space is Ds/5 or 50 mm whichever is greater.</t>
  </si>
  <si>
    <t>Max. baffle spacing is Shell ID.</t>
  </si>
  <si>
    <t>Cross-flow area</t>
  </si>
  <si>
    <t>Equivalent diameter</t>
  </si>
  <si>
    <t>For Triangular pitch</t>
  </si>
  <si>
    <t>For Square pitch</t>
  </si>
  <si>
    <t>List</t>
  </si>
  <si>
    <t>Velocity</t>
  </si>
  <si>
    <t>Square</t>
  </si>
  <si>
    <t>Baffle-cut</t>
  </si>
  <si>
    <t>%</t>
  </si>
  <si>
    <t>hs</t>
  </si>
  <si>
    <r>
      <t>Step 11</t>
    </r>
    <r>
      <rPr>
        <b/>
        <i/>
        <sz val="16"/>
        <color theme="1"/>
        <rFont val="Roboto Condensed Light"/>
      </rPr>
      <t xml:space="preserve"> Overall heat transfer coefficient with fouling factors</t>
    </r>
  </si>
  <si>
    <t>Tube material thermal conductivity</t>
  </si>
  <si>
    <t>W/m oC</t>
  </si>
  <si>
    <t>1/Uo</t>
  </si>
  <si>
    <t>Uo</t>
  </si>
  <si>
    <r>
      <t>W/m</t>
    </r>
    <r>
      <rPr>
        <vertAlign val="superscript"/>
        <sz val="11"/>
        <color theme="1"/>
        <rFont val="Roboto Condensed Light"/>
      </rPr>
      <t>2</t>
    </r>
    <r>
      <rPr>
        <sz val="11"/>
        <color theme="1"/>
        <rFont val="Roboto Condensed Light"/>
      </rPr>
      <t xml:space="preserve"> </t>
    </r>
    <r>
      <rPr>
        <vertAlign val="superscript"/>
        <sz val="11"/>
        <color theme="1"/>
        <rFont val="Roboto Condensed Light"/>
      </rPr>
      <t>o</t>
    </r>
    <r>
      <rPr>
        <sz val="11"/>
        <color theme="1"/>
        <rFont val="Roboto Condensed Light"/>
      </rPr>
      <t>C</t>
    </r>
  </si>
  <si>
    <t xml:space="preserve">Q = </t>
  </si>
  <si>
    <t>Decision Point</t>
  </si>
  <si>
    <t>%deviation from assumed Uo</t>
  </si>
  <si>
    <r>
      <t>Step 12</t>
    </r>
    <r>
      <rPr>
        <b/>
        <i/>
        <sz val="16"/>
        <color theme="1"/>
        <rFont val="Roboto Condensed Light"/>
      </rPr>
      <t xml:space="preserve"> Tube-side and Shell-side pressure drop</t>
    </r>
  </si>
  <si>
    <t>Tube side:</t>
  </si>
  <si>
    <t>friction factor_tube, jf</t>
  </si>
  <si>
    <t>Delta P_tube</t>
  </si>
  <si>
    <t>Pa</t>
  </si>
  <si>
    <t>kPa</t>
  </si>
  <si>
    <t>Shell side:</t>
  </si>
  <si>
    <t>friction factor_shell, jf</t>
  </si>
  <si>
    <t>Delta P_shell</t>
  </si>
  <si>
    <t>Finalized Design</t>
  </si>
  <si>
    <t>Base Case</t>
  </si>
  <si>
    <t>Shell &amp; Tube Heat Exchanger</t>
  </si>
  <si>
    <t>Tube layout</t>
  </si>
  <si>
    <t>Surface area:</t>
  </si>
  <si>
    <t>Overall h.t.c.</t>
  </si>
  <si>
    <t>Margin:</t>
  </si>
  <si>
    <t>W/m2 oC</t>
  </si>
  <si>
    <t>Tube-passes</t>
  </si>
  <si>
    <t>Tube passes:</t>
  </si>
  <si>
    <t>Shell passes:</t>
  </si>
  <si>
    <t>Tube OD:</t>
  </si>
  <si>
    <t>Shell ID:</t>
  </si>
  <si>
    <t>Tube ID:</t>
  </si>
  <si>
    <t>Baffle spacing:</t>
  </si>
  <si>
    <t>Tube length:</t>
  </si>
  <si>
    <t>Baffle cut:</t>
  </si>
  <si>
    <t>Tube layout:</t>
  </si>
  <si>
    <t>Tube bundle dia.:</t>
  </si>
  <si>
    <t># of Tubes:</t>
  </si>
  <si>
    <t>Tube_h.t.c</t>
  </si>
  <si>
    <t>Shell_h.t.c</t>
  </si>
  <si>
    <t>Tube_pres_drop</t>
  </si>
  <si>
    <t>Shell_pres_drop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</si>
</sst>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Roboto Condensed Light"/>
    </font>
    <font>
      <b/>
      <sz val="24"/>
      <color theme="1"/>
      <name val="Roboto Condensed Light"/>
    </font>
    <font>
      <b/>
      <sz val="11"/>
      <color theme="1"/>
      <name val="Roboto Condensed Light"/>
    </font>
    <font>
      <sz val="11"/>
      <color theme="1"/>
      <name val="Calibri"/>
      <family val="2"/>
    </font>
    <font>
      <vertAlign val="superscript"/>
      <sz val="11"/>
      <color theme="1"/>
      <name val="Roboto Condensed Light"/>
    </font>
    <font>
      <b/>
      <i/>
      <u/>
      <sz val="16"/>
      <color theme="1"/>
      <name val="Roboto Condensed Light"/>
    </font>
    <font>
      <b/>
      <i/>
      <sz val="16"/>
      <color theme="1"/>
      <name val="Roboto Condensed Light"/>
    </font>
    <font>
      <sz val="12"/>
      <color theme="1"/>
      <name val="Roboto Condensed Light"/>
      <family val="2"/>
    </font>
    <font>
      <sz val="12"/>
      <color theme="1"/>
      <name val="Calibri"/>
      <family val="2"/>
    </font>
    <font>
      <sz val="12"/>
      <color theme="1"/>
      <name val="Roboto Condensed Light"/>
    </font>
    <font>
      <vertAlign val="subscript"/>
      <sz val="12"/>
      <color theme="1"/>
      <name val="Roboto Condensed Ligh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5" fillId="0" borderId="6" xfId="0" applyFont="1" applyBorder="1"/>
    <xf numFmtId="0" fontId="3" fillId="2" borderId="6" xfId="0" applyFont="1" applyFill="1" applyBorder="1" applyAlignment="1">
      <alignment horizontal="center"/>
    </xf>
    <xf numFmtId="0" fontId="3" fillId="0" borderId="7" xfId="0" applyFont="1" applyBorder="1"/>
    <xf numFmtId="0" fontId="5" fillId="0" borderId="0" xfId="0" applyFont="1" applyAlignment="1">
      <alignment horizontal="right"/>
    </xf>
    <xf numFmtId="0" fontId="3" fillId="0" borderId="8" xfId="0" applyFont="1" applyBorder="1"/>
    <xf numFmtId="0" fontId="3" fillId="2" borderId="1" xfId="0" applyFont="1" applyFill="1" applyBorder="1"/>
    <xf numFmtId="0" fontId="3" fillId="0" borderId="2" xfId="0" applyFont="1" applyBorder="1"/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/>
    <xf numFmtId="0" fontId="3" fillId="0" borderId="10" xfId="0" applyFont="1" applyBorder="1"/>
    <xf numFmtId="0" fontId="3" fillId="2" borderId="9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1" applyBorder="1"/>
    <xf numFmtId="0" fontId="5" fillId="0" borderId="0" xfId="0" applyFont="1"/>
    <xf numFmtId="0" fontId="5" fillId="0" borderId="11" xfId="0" applyFont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8" fillId="0" borderId="0" xfId="0" applyFont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64" fontId="3" fillId="0" borderId="0" xfId="0" applyNumberFormat="1" applyFont="1"/>
    <xf numFmtId="164" fontId="3" fillId="2" borderId="0" xfId="0" applyNumberFormat="1" applyFont="1" applyFill="1"/>
    <xf numFmtId="0" fontId="10" fillId="0" borderId="0" xfId="0" applyFont="1"/>
    <xf numFmtId="0" fontId="3" fillId="2" borderId="0" xfId="0" applyFont="1" applyFill="1"/>
    <xf numFmtId="165" fontId="3" fillId="0" borderId="0" xfId="0" applyNumberFormat="1" applyFont="1"/>
    <xf numFmtId="2" fontId="3" fillId="0" borderId="0" xfId="0" applyNumberFormat="1" applyFont="1"/>
    <xf numFmtId="0" fontId="3" fillId="0" borderId="0" xfId="0" quotePrefix="1" applyFont="1"/>
    <xf numFmtId="0" fontId="3" fillId="0" borderId="1" xfId="0" applyFont="1" applyBorder="1"/>
    <xf numFmtId="0" fontId="5" fillId="0" borderId="2" xfId="0" applyFont="1" applyBorder="1" applyAlignment="1">
      <alignment horizontal="right"/>
    </xf>
    <xf numFmtId="0" fontId="3" fillId="0" borderId="6" xfId="0" applyFont="1" applyBorder="1"/>
    <xf numFmtId="0" fontId="3" fillId="0" borderId="9" xfId="0" applyFont="1" applyBorder="1"/>
    <xf numFmtId="0" fontId="5" fillId="0" borderId="10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/>
    <xf numFmtId="167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166" fontId="0" fillId="0" borderId="0" xfId="0" applyNumberFormat="1" applyProtection="1">
      <protection locked="0"/>
    </xf>
    <xf numFmtId="166" fontId="0" fillId="0" borderId="0" xfId="0" applyNumberFormat="1"/>
    <xf numFmtId="1" fontId="3" fillId="0" borderId="0" xfId="0" applyNumberFormat="1" applyFont="1"/>
    <xf numFmtId="166" fontId="3" fillId="2" borderId="0" xfId="0" applyNumberFormat="1" applyFont="1" applyFill="1"/>
    <xf numFmtId="11" fontId="3" fillId="0" borderId="0" xfId="0" applyNumberFormat="1" applyFont="1"/>
    <xf numFmtId="1" fontId="3" fillId="2" borderId="0" xfId="0" applyNumberFormat="1" applyFont="1" applyFill="1"/>
    <xf numFmtId="167" fontId="3" fillId="2" borderId="0" xfId="0" applyNumberFormat="1" applyFont="1" applyFill="1"/>
    <xf numFmtId="0" fontId="5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5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0</xdr:row>
      <xdr:rowOff>125730</xdr:rowOff>
    </xdr:from>
    <xdr:to>
      <xdr:col>14</xdr:col>
      <xdr:colOff>518160</xdr:colOff>
      <xdr:row>7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B18BF7-820C-4D90-8BBD-30518865C53A}"/>
            </a:ext>
          </a:extLst>
        </xdr:cNvPr>
        <xdr:cNvSpPr/>
      </xdr:nvSpPr>
      <xdr:spPr>
        <a:xfrm>
          <a:off x="426720" y="125730"/>
          <a:ext cx="10782300" cy="11734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 baseline="0">
              <a:solidFill>
                <a:sysClr val="windowText" lastClr="000000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Ex. 19.1 Design a shell and tube exchanger for the following duty. </a:t>
          </a:r>
        </a:p>
        <a:p>
          <a:r>
            <a:rPr lang="en-IN" sz="1600" b="0" i="0" u="none" strike="noStrike" baseline="0">
              <a:solidFill>
                <a:sysClr val="windowText" lastClr="000000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               </a:t>
          </a:r>
          <a:r>
            <a:rPr lang="en-IN" sz="1600" b="0" i="0" u="none" strike="noStrike" baseline="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Design an exchanger to subcool condensate from a methanol condenser from 95 </a:t>
          </a:r>
          <a:r>
            <a:rPr lang="en-IN" sz="1600" b="0" i="0" u="none" strike="noStrike" baseline="3000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o</a:t>
          </a:r>
          <a:r>
            <a:rPr lang="en-IN" sz="1600" b="0" i="0" u="none" strike="noStrike" baseline="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C to 40 </a:t>
          </a:r>
          <a:r>
            <a:rPr lang="en-IN" sz="1600" b="0" i="0" u="none" strike="noStrike" baseline="3000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o</a:t>
          </a:r>
          <a:r>
            <a:rPr lang="en-IN" sz="1600" b="0" i="0" u="none" strike="noStrike" baseline="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C. The flow rate of methanol is 100,000 kg/h. Brackish water will be used as the coolant, with a temperature rise from 25 </a:t>
          </a:r>
          <a:r>
            <a:rPr lang="en-IN" sz="1600" b="0" i="0" u="none" strike="noStrike" baseline="3000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o</a:t>
          </a:r>
          <a:r>
            <a:rPr lang="en-IN" sz="1600" b="0" i="0" u="none" strike="noStrike" baseline="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C to 40 </a:t>
          </a:r>
          <a:r>
            <a:rPr lang="en-IN" sz="1600" b="0" i="0" u="none" strike="noStrike" baseline="3000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o</a:t>
          </a:r>
          <a:r>
            <a:rPr lang="en-IN" sz="1600" b="0" i="0" u="none" strike="noStrike" baseline="0">
              <a:solidFill>
                <a:schemeClr val="dk1"/>
              </a:solidFill>
              <a:latin typeface="Roboto Condensed Light" panose="02000000000000000000" pitchFamily="2" charset="0"/>
              <a:ea typeface="Roboto Condensed Light" panose="02000000000000000000" pitchFamily="2" charset="0"/>
              <a:cs typeface="+mn-cs"/>
            </a:rPr>
            <a:t>C.</a:t>
          </a:r>
          <a:endParaRPr lang="en-IN" sz="1600">
            <a:solidFill>
              <a:sysClr val="windowText" lastClr="000000"/>
            </a:solidFill>
            <a:latin typeface="Roboto Condensed Light" panose="02000000000000000000" pitchFamily="2" charset="0"/>
            <a:ea typeface="Roboto Condensed Light" panose="02000000000000000000" pitchFamily="2" charset="0"/>
          </a:endParaRPr>
        </a:p>
      </xdr:txBody>
    </xdr:sp>
    <xdr:clientData/>
  </xdr:twoCellAnchor>
  <xdr:twoCellAnchor>
    <xdr:from>
      <xdr:col>9</xdr:col>
      <xdr:colOff>411480</xdr:colOff>
      <xdr:row>15</xdr:row>
      <xdr:rowOff>144780</xdr:rowOff>
    </xdr:from>
    <xdr:to>
      <xdr:col>13</xdr:col>
      <xdr:colOff>480060</xdr:colOff>
      <xdr:row>17</xdr:row>
      <xdr:rowOff>53340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724E349-4F2F-4550-BFF3-716D60E7B471}"/>
            </a:ext>
          </a:extLst>
        </xdr:cNvPr>
        <xdr:cNvSpPr/>
      </xdr:nvSpPr>
      <xdr:spPr>
        <a:xfrm>
          <a:off x="7680960" y="2895600"/>
          <a:ext cx="2880360" cy="297180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411480</xdr:colOff>
      <xdr:row>18</xdr:row>
      <xdr:rowOff>99060</xdr:rowOff>
    </xdr:from>
    <xdr:to>
      <xdr:col>13</xdr:col>
      <xdr:colOff>464820</xdr:colOff>
      <xdr:row>19</xdr:row>
      <xdr:rowOff>190500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D8357A3-43EE-470C-B8D2-F0F63E7989C2}"/>
            </a:ext>
          </a:extLst>
        </xdr:cNvPr>
        <xdr:cNvSpPr/>
      </xdr:nvSpPr>
      <xdr:spPr>
        <a:xfrm rot="10800000">
          <a:off x="7680960" y="3421380"/>
          <a:ext cx="2865120" cy="2743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53</xdr:col>
      <xdr:colOff>299178</xdr:colOff>
      <xdr:row>46</xdr:row>
      <xdr:rowOff>38468</xdr:rowOff>
    </xdr:from>
    <xdr:to>
      <xdr:col>73</xdr:col>
      <xdr:colOff>28650</xdr:colOff>
      <xdr:row>53</xdr:row>
      <xdr:rowOff>93370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C98ADC-D2F4-4FFB-A4F1-70006A5A3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4438" y="9030068"/>
          <a:ext cx="11921472" cy="1380782"/>
        </a:xfrm>
        <a:prstGeom prst="rect">
          <a:avLst/>
        </a:prstGeom>
      </xdr:spPr>
    </xdr:pic>
    <xdr:clientData/>
  </xdr:twoCellAnchor>
  <xdr:twoCellAnchor editAs="oneCell">
    <xdr:from>
      <xdr:col>36</xdr:col>
      <xdr:colOff>167004</xdr:colOff>
      <xdr:row>48</xdr:row>
      <xdr:rowOff>115294</xdr:rowOff>
    </xdr:from>
    <xdr:to>
      <xdr:col>39</xdr:col>
      <xdr:colOff>588323</xdr:colOff>
      <xdr:row>66</xdr:row>
      <xdr:rowOff>97944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49E07-7718-405E-A56B-7BB21AD1C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69064" y="9518374"/>
          <a:ext cx="2250119" cy="3487850"/>
        </a:xfrm>
        <a:prstGeom prst="rect">
          <a:avLst/>
        </a:prstGeom>
      </xdr:spPr>
    </xdr:pic>
    <xdr:clientData/>
  </xdr:twoCellAnchor>
  <xdr:twoCellAnchor editAs="oneCell">
    <xdr:from>
      <xdr:col>42</xdr:col>
      <xdr:colOff>182687</xdr:colOff>
      <xdr:row>49</xdr:row>
      <xdr:rowOff>79655</xdr:rowOff>
    </xdr:from>
    <xdr:to>
      <xdr:col>51</xdr:col>
      <xdr:colOff>52421</xdr:colOff>
      <xdr:row>66</xdr:row>
      <xdr:rowOff>32273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7EAFAF-D9CE-46A9-BC9A-4394D4CD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42347" y="9665615"/>
          <a:ext cx="5356134" cy="32749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144822</xdr:colOff>
      <xdr:row>71</xdr:row>
      <xdr:rowOff>46066</xdr:rowOff>
    </xdr:from>
    <xdr:to>
      <xdr:col>41</xdr:col>
      <xdr:colOff>207574</xdr:colOff>
      <xdr:row>79</xdr:row>
      <xdr:rowOff>266385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72F190E-C1E3-43C9-95A0-5FCD3D968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27682" y="13868746"/>
          <a:ext cx="4329952" cy="1683359"/>
        </a:xfrm>
        <a:prstGeom prst="rect">
          <a:avLst/>
        </a:prstGeom>
      </xdr:spPr>
    </xdr:pic>
    <xdr:clientData/>
  </xdr:twoCellAnchor>
  <xdr:twoCellAnchor editAs="oneCell">
    <xdr:from>
      <xdr:col>54</xdr:col>
      <xdr:colOff>223055</xdr:colOff>
      <xdr:row>66</xdr:row>
      <xdr:rowOff>16950</xdr:rowOff>
    </xdr:from>
    <xdr:to>
      <xdr:col>69</xdr:col>
      <xdr:colOff>444727</xdr:colOff>
      <xdr:row>95</xdr:row>
      <xdr:rowOff>23214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1A437-1D2A-46E2-BB52-24DBACE9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97915" y="12925230"/>
          <a:ext cx="9365672" cy="5477424"/>
        </a:xfrm>
        <a:prstGeom prst="rect">
          <a:avLst/>
        </a:prstGeom>
      </xdr:spPr>
    </xdr:pic>
    <xdr:clientData/>
  </xdr:twoCellAnchor>
  <xdr:twoCellAnchor editAs="oneCell">
    <xdr:from>
      <xdr:col>41</xdr:col>
      <xdr:colOff>470382</xdr:colOff>
      <xdr:row>88</xdr:row>
      <xdr:rowOff>118761</xdr:rowOff>
    </xdr:from>
    <xdr:to>
      <xdr:col>50</xdr:col>
      <xdr:colOff>385411</xdr:colOff>
      <xdr:row>120</xdr:row>
      <xdr:rowOff>36672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057B5-0ADE-4732-98DA-2D7BD4F06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0442" y="17218041"/>
          <a:ext cx="5401429" cy="5853891"/>
        </a:xfrm>
        <a:prstGeom prst="rect">
          <a:avLst/>
        </a:prstGeom>
      </xdr:spPr>
    </xdr:pic>
    <xdr:clientData/>
  </xdr:twoCellAnchor>
  <xdr:twoCellAnchor editAs="oneCell">
    <xdr:from>
      <xdr:col>4</xdr:col>
      <xdr:colOff>82259</xdr:colOff>
      <xdr:row>117</xdr:row>
      <xdr:rowOff>75688</xdr:rowOff>
    </xdr:from>
    <xdr:to>
      <xdr:col>6</xdr:col>
      <xdr:colOff>714060</xdr:colOff>
      <xdr:row>121</xdr:row>
      <xdr:rowOff>3662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3F5824-6D42-4D5C-910D-67A84F37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95079" y="22562308"/>
          <a:ext cx="2292961" cy="65949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127</xdr:row>
      <xdr:rowOff>130036</xdr:rowOff>
    </xdr:from>
    <xdr:to>
      <xdr:col>7</xdr:col>
      <xdr:colOff>306550</xdr:colOff>
      <xdr:row>129</xdr:row>
      <xdr:rowOff>137160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907705-A2AD-4EEA-95ED-0EBD2EC9B3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7262" t="15083" r="7321" b="4821"/>
        <a:stretch/>
      </xdr:blipFill>
      <xdr:spPr>
        <a:xfrm>
          <a:off x="5221606" y="24529276"/>
          <a:ext cx="1066644" cy="372884"/>
        </a:xfrm>
        <a:prstGeom prst="rect">
          <a:avLst/>
        </a:prstGeom>
      </xdr:spPr>
    </xdr:pic>
    <xdr:clientData/>
  </xdr:twoCellAnchor>
  <xdr:twoCellAnchor editAs="oneCell">
    <xdr:from>
      <xdr:col>9</xdr:col>
      <xdr:colOff>79512</xdr:colOff>
      <xdr:row>132</xdr:row>
      <xdr:rowOff>25793</xdr:rowOff>
    </xdr:from>
    <xdr:to>
      <xdr:col>11</xdr:col>
      <xdr:colOff>324675</xdr:colOff>
      <xdr:row>134</xdr:row>
      <xdr:rowOff>113588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231902-C896-4422-BB8F-EE602FC7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48992" y="25347053"/>
          <a:ext cx="1837743" cy="453555"/>
        </a:xfrm>
        <a:prstGeom prst="rect">
          <a:avLst/>
        </a:prstGeom>
      </xdr:spPr>
    </xdr:pic>
    <xdr:clientData/>
  </xdr:twoCellAnchor>
  <xdr:twoCellAnchor editAs="oneCell">
    <xdr:from>
      <xdr:col>6</xdr:col>
      <xdr:colOff>99391</xdr:colOff>
      <xdr:row>132</xdr:row>
      <xdr:rowOff>31413</xdr:rowOff>
    </xdr:from>
    <xdr:to>
      <xdr:col>8</xdr:col>
      <xdr:colOff>496956</xdr:colOff>
      <xdr:row>134</xdr:row>
      <xdr:rowOff>148821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EFDAB9-4163-4126-B332-7B205026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73371" y="25352673"/>
          <a:ext cx="1814885" cy="483168"/>
        </a:xfrm>
        <a:prstGeom prst="rect">
          <a:avLst/>
        </a:prstGeom>
      </xdr:spPr>
    </xdr:pic>
    <xdr:clientData/>
  </xdr:twoCellAnchor>
  <xdr:twoCellAnchor editAs="oneCell">
    <xdr:from>
      <xdr:col>4</xdr:col>
      <xdr:colOff>547316</xdr:colOff>
      <xdr:row>140</xdr:row>
      <xdr:rowOff>43951</xdr:rowOff>
    </xdr:from>
    <xdr:to>
      <xdr:col>8</xdr:col>
      <xdr:colOff>31320</xdr:colOff>
      <xdr:row>143</xdr:row>
      <xdr:rowOff>24436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66747B-7F76-4652-93FB-7C6F3D073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60136" y="26835871"/>
          <a:ext cx="2562484" cy="529125"/>
        </a:xfrm>
        <a:prstGeom prst="rect">
          <a:avLst/>
        </a:prstGeom>
      </xdr:spPr>
    </xdr:pic>
    <xdr:clientData/>
  </xdr:twoCellAnchor>
  <xdr:twoCellAnchor editAs="oneCell">
    <xdr:from>
      <xdr:col>4</xdr:col>
      <xdr:colOff>933616</xdr:colOff>
      <xdr:row>146</xdr:row>
      <xdr:rowOff>111169</xdr:rowOff>
    </xdr:from>
    <xdr:to>
      <xdr:col>9</xdr:col>
      <xdr:colOff>473136</xdr:colOff>
      <xdr:row>150</xdr:row>
      <xdr:rowOff>53114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DFC3EDF-6235-4783-A172-52C2B242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46436" y="28084189"/>
          <a:ext cx="3296180" cy="673465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533400</xdr:colOff>
      <xdr:row>152</xdr:row>
      <xdr:rowOff>53340</xdr:rowOff>
    </xdr:from>
    <xdr:to>
      <xdr:col>5</xdr:col>
      <xdr:colOff>76200</xdr:colOff>
      <xdr:row>155</xdr:row>
      <xdr:rowOff>129540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C9CE87-238F-49E8-89D4-0EEE744B8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67744" t="27442" r="1608" b="64097"/>
        <a:stretch/>
      </xdr:blipFill>
      <xdr:spPr>
        <a:xfrm>
          <a:off x="2491740" y="29146500"/>
          <a:ext cx="2148840" cy="70866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162</xdr:row>
      <xdr:rowOff>48778</xdr:rowOff>
    </xdr:from>
    <xdr:to>
      <xdr:col>12</xdr:col>
      <xdr:colOff>438822</xdr:colOff>
      <xdr:row>169</xdr:row>
      <xdr:rowOff>1829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67533CC-38FC-4724-8D2D-D1BB9EF47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40581" y="31138378"/>
          <a:ext cx="5269901" cy="1233211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170</xdr:row>
      <xdr:rowOff>74330</xdr:rowOff>
    </xdr:from>
    <xdr:to>
      <xdr:col>14</xdr:col>
      <xdr:colOff>80682</xdr:colOff>
      <xdr:row>176</xdr:row>
      <xdr:rowOff>9771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1E6F164-4161-4C71-95E9-83C58E33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26380" y="32626970"/>
          <a:ext cx="5445162" cy="1032721"/>
        </a:xfrm>
        <a:prstGeom prst="rect">
          <a:avLst/>
        </a:prstGeom>
      </xdr:spPr>
    </xdr:pic>
    <xdr:clientData/>
  </xdr:twoCellAnchor>
  <xdr:twoCellAnchor>
    <xdr:from>
      <xdr:col>5</xdr:col>
      <xdr:colOff>502920</xdr:colOff>
      <xdr:row>69</xdr:row>
      <xdr:rowOff>30480</xdr:rowOff>
    </xdr:from>
    <xdr:to>
      <xdr:col>8</xdr:col>
      <xdr:colOff>190500</xdr:colOff>
      <xdr:row>69</xdr:row>
      <xdr:rowOff>144780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734BAE7-C391-45D4-922F-40F4BCA908C8}"/>
            </a:ext>
          </a:extLst>
        </xdr:cNvPr>
        <xdr:cNvSpPr/>
      </xdr:nvSpPr>
      <xdr:spPr>
        <a:xfrm>
          <a:off x="5067300" y="13487400"/>
          <a:ext cx="1714500" cy="114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510540</xdr:colOff>
      <xdr:row>70</xdr:row>
      <xdr:rowOff>45720</xdr:rowOff>
    </xdr:from>
    <xdr:to>
      <xdr:col>8</xdr:col>
      <xdr:colOff>198120</xdr:colOff>
      <xdr:row>70</xdr:row>
      <xdr:rowOff>160020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48260A4-5A25-4AE6-BC56-D40EF63B848C}"/>
            </a:ext>
          </a:extLst>
        </xdr:cNvPr>
        <xdr:cNvSpPr/>
      </xdr:nvSpPr>
      <xdr:spPr>
        <a:xfrm>
          <a:off x="5074920" y="13685520"/>
          <a:ext cx="1714500" cy="114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518160</xdr:colOff>
      <xdr:row>71</xdr:row>
      <xdr:rowOff>60960</xdr:rowOff>
    </xdr:from>
    <xdr:to>
      <xdr:col>8</xdr:col>
      <xdr:colOff>205740</xdr:colOff>
      <xdr:row>71</xdr:row>
      <xdr:rowOff>175260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064C6A2-7263-4B77-B576-38137FC3D550}"/>
            </a:ext>
          </a:extLst>
        </xdr:cNvPr>
        <xdr:cNvSpPr/>
      </xdr:nvSpPr>
      <xdr:spPr>
        <a:xfrm>
          <a:off x="5082540" y="13883640"/>
          <a:ext cx="1714500" cy="114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503872</xdr:colOff>
      <xdr:row>68</xdr:row>
      <xdr:rowOff>59055</xdr:rowOff>
    </xdr:from>
    <xdr:to>
      <xdr:col>5</xdr:col>
      <xdr:colOff>604837</xdr:colOff>
      <xdr:row>73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E385BC7-F78B-414D-A8C1-AAC9FE890EBA}"/>
            </a:ext>
          </a:extLst>
        </xdr:cNvPr>
        <xdr:cNvSpPr/>
      </xdr:nvSpPr>
      <xdr:spPr>
        <a:xfrm>
          <a:off x="5068252" y="13333095"/>
          <a:ext cx="100965" cy="8553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106679</xdr:colOff>
      <xdr:row>68</xdr:row>
      <xdr:rowOff>40957</xdr:rowOff>
    </xdr:from>
    <xdr:to>
      <xdr:col>8</xdr:col>
      <xdr:colOff>207644</xdr:colOff>
      <xdr:row>72</xdr:row>
      <xdr:rowOff>162877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E855945-A276-437D-97AB-1DAE4ECD2618}"/>
            </a:ext>
          </a:extLst>
        </xdr:cNvPr>
        <xdr:cNvSpPr/>
      </xdr:nvSpPr>
      <xdr:spPr>
        <a:xfrm>
          <a:off x="6697979" y="13314997"/>
          <a:ext cx="100965" cy="853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72</xdr:row>
      <xdr:rowOff>52387</xdr:rowOff>
    </xdr:from>
    <xdr:to>
      <xdr:col>8</xdr:col>
      <xdr:colOff>100012</xdr:colOff>
      <xdr:row>72</xdr:row>
      <xdr:rowOff>66675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9CBDD6BA-577F-45ED-B527-4C139AC63EED}"/>
            </a:ext>
          </a:extLst>
        </xdr:cNvPr>
        <xdr:cNvCxnSpPr/>
      </xdr:nvCxnSpPr>
      <xdr:spPr>
        <a:xfrm flipV="1">
          <a:off x="5173980" y="14057947"/>
          <a:ext cx="1517332" cy="142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73</xdr:row>
      <xdr:rowOff>61913</xdr:rowOff>
    </xdr:from>
    <xdr:to>
      <xdr:col>8</xdr:col>
      <xdr:colOff>223838</xdr:colOff>
      <xdr:row>73</xdr:row>
      <xdr:rowOff>71437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29FBC4A-9F8C-43C8-9FDC-A5944F9F6241}"/>
            </a:ext>
          </a:extLst>
        </xdr:cNvPr>
        <xdr:cNvCxnSpPr/>
      </xdr:nvCxnSpPr>
      <xdr:spPr>
        <a:xfrm flipV="1">
          <a:off x="5078730" y="14250353"/>
          <a:ext cx="1736408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509589</xdr:colOff>
      <xdr:row>72</xdr:row>
      <xdr:rowOff>157159</xdr:rowOff>
    </xdr:from>
    <xdr:to>
      <xdr:col>5</xdr:col>
      <xdr:colOff>509589</xdr:colOff>
      <xdr:row>73</xdr:row>
      <xdr:rowOff>152397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952A6DD-528E-4FAF-BDAC-61D0A29CAE20}"/>
            </a:ext>
          </a:extLst>
        </xdr:cNvPr>
        <xdr:cNvCxnSpPr/>
      </xdr:nvCxnSpPr>
      <xdr:spPr>
        <a:xfrm>
          <a:off x="5073969" y="14162719"/>
          <a:ext cx="0" cy="17811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219077</xdr:colOff>
      <xdr:row>72</xdr:row>
      <xdr:rowOff>166684</xdr:rowOff>
    </xdr:from>
    <xdr:to>
      <xdr:col>8</xdr:col>
      <xdr:colOff>219077</xdr:colOff>
      <xdr:row>73</xdr:row>
      <xdr:rowOff>161922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D672648-0608-4353-80AF-BBAFD73D33FB}"/>
            </a:ext>
          </a:extLst>
        </xdr:cNvPr>
        <xdr:cNvCxnSpPr/>
      </xdr:nvCxnSpPr>
      <xdr:spPr>
        <a:xfrm>
          <a:off x="6810377" y="14172244"/>
          <a:ext cx="0" cy="17811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199115</xdr:colOff>
      <xdr:row>141</xdr:row>
      <xdr:rowOff>77329</xdr:rowOff>
    </xdr:from>
    <xdr:to>
      <xdr:col>44</xdr:col>
      <xdr:colOff>439605</xdr:colOff>
      <xdr:row>188</xdr:row>
      <xdr:rowOff>165690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6FCFF10-F9DB-4DCB-9CF3-C963116E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862775" y="27052129"/>
          <a:ext cx="7555690" cy="90723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PG-9_Heat%20Exchanger%20Design_v1.01/TPG-9_Heat%20Exchanger%20Design_v1.01-solved.xlsm" TargetMode="External"/><Relationship Id="rId2" Type="http://schemas.openxmlformats.org/officeDocument/2006/relationships/externalLinkPath" Target="file:///C:\Users\ajit\Downloads\TPG-9_Heat%20Exchanger%20Design_v1.01\TPG-9_Heat%20Exchanger%20Design_v1.01-solved.xlsm" TargetMode="External"/><Relationship Id="rId1" Type="http://schemas.openxmlformats.org/officeDocument/2006/relationships/externalLinkPath" Target="/Users/ajit/Downloads/TPG-9_Heat%20Exchanger%20Design_v1.01/TPG-9_Heat%20Exchanger%20Design_v1.01-solv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ject Final"/>
      <sheetName val="SS jf factor table"/>
      <sheetName val="TS jf factor table"/>
      <sheetName val="SS jh factor table"/>
      <sheetName val="Shell-bundle clearance table"/>
      <sheetName val="TS jh factor table"/>
      <sheetName val="Figure 19.1 Overall h.t.c."/>
      <sheetName val="Table 19.2 Fouling Resistance"/>
    </sheetNames>
    <sheetDataSet>
      <sheetData sheetId="0"/>
      <sheetData sheetId="1">
        <row r="14">
          <cell r="L14">
            <v>4.4625735374688814E-2</v>
          </cell>
        </row>
      </sheetData>
      <sheetData sheetId="2">
        <row r="10">
          <cell r="H10">
            <v>4.3805952770370749E-3</v>
          </cell>
        </row>
      </sheetData>
      <sheetData sheetId="3">
        <row r="14">
          <cell r="M14">
            <v>4.0105387058075332E-3</v>
          </cell>
        </row>
      </sheetData>
      <sheetData sheetId="4">
        <row r="9">
          <cell r="J9">
            <v>68</v>
          </cell>
        </row>
      </sheetData>
      <sheetData sheetId="5">
        <row r="11">
          <cell r="L11">
            <v>3.9753489053062268E-3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3FF1-830B-43D5-82B3-5E80D379A33E}">
  <dimension ref="B3:AO193"/>
  <sheetViews>
    <sheetView showGridLines="0" tabSelected="1" zoomScaleNormal="100" workbookViewId="0">
      <selection activeCell="O165" sqref="O165"/>
    </sheetView>
  </sheetViews>
  <sheetFormatPr defaultRowHeight="14.4" x14ac:dyDescent="0.3"/>
  <cols>
    <col min="1" max="1" width="8.88671875" style="1"/>
    <col min="2" max="2" width="19.6640625" style="1" customWidth="1"/>
    <col min="3" max="3" width="10.5546875" style="1" customWidth="1"/>
    <col min="4" max="4" width="12.109375" style="1" customWidth="1"/>
    <col min="5" max="5" width="15.33203125" style="1" customWidth="1"/>
    <col min="6" max="6" width="8.88671875" style="1"/>
    <col min="7" max="7" width="11.77734375" style="1" customWidth="1"/>
    <col min="8" max="8" width="8.88671875" style="1"/>
    <col min="9" max="9" width="9.88671875" style="1" customWidth="1"/>
    <col min="10" max="10" width="14.33203125" style="1" customWidth="1"/>
    <col min="11" max="16384" width="8.88671875" style="1"/>
  </cols>
  <sheetData>
    <row r="3" spans="2:41" x14ac:dyDescent="0.3">
      <c r="AG3" s="2"/>
      <c r="AH3" s="2"/>
      <c r="AI3" s="2"/>
      <c r="AJ3" s="2"/>
      <c r="AK3" s="2"/>
      <c r="AL3" s="2"/>
      <c r="AM3" s="2"/>
      <c r="AN3" s="2"/>
      <c r="AO3" s="2"/>
    </row>
    <row r="4" spans="2:41" x14ac:dyDescent="0.3">
      <c r="AG4" s="2"/>
      <c r="AH4" s="2"/>
      <c r="AI4" s="2"/>
      <c r="AJ4" s="2"/>
      <c r="AK4" s="2"/>
      <c r="AL4" s="2"/>
      <c r="AM4" s="2"/>
      <c r="AN4" s="2"/>
      <c r="AO4" s="2"/>
    </row>
    <row r="5" spans="2:41" x14ac:dyDescent="0.3">
      <c r="AG5" s="2"/>
      <c r="AH5" s="2"/>
      <c r="AI5" s="2"/>
      <c r="AJ5" s="2"/>
      <c r="AK5" s="2"/>
      <c r="AL5" s="2"/>
      <c r="AM5" s="2"/>
      <c r="AN5" s="2"/>
      <c r="AO5" s="2"/>
    </row>
    <row r="6" spans="2:41" x14ac:dyDescent="0.3">
      <c r="AG6" s="2"/>
      <c r="AH6" s="2"/>
      <c r="AI6" s="2"/>
      <c r="AJ6" s="2"/>
      <c r="AK6" s="2"/>
      <c r="AL6" s="2"/>
      <c r="AM6" s="2"/>
      <c r="AN6" s="2"/>
      <c r="AO6" s="2"/>
    </row>
    <row r="10" spans="2:41" ht="15" thickBot="1" x14ac:dyDescent="0.35"/>
    <row r="11" spans="2:41" x14ac:dyDescent="0.3">
      <c r="C11" s="3" t="s">
        <v>0</v>
      </c>
      <c r="D11" s="4"/>
      <c r="E11" s="3" t="s">
        <v>1</v>
      </c>
      <c r="F11" s="4"/>
      <c r="I11" s="5"/>
      <c r="J11" s="6"/>
      <c r="K11" s="6"/>
      <c r="L11" s="6"/>
      <c r="M11" s="6"/>
      <c r="N11" s="6"/>
      <c r="O11" s="7"/>
    </row>
    <row r="12" spans="2:41" x14ac:dyDescent="0.3">
      <c r="B12" s="8" t="s">
        <v>2</v>
      </c>
      <c r="C12" s="9" t="s">
        <v>3</v>
      </c>
      <c r="D12" s="9"/>
      <c r="E12" s="9" t="s">
        <v>4</v>
      </c>
      <c r="F12" s="9"/>
      <c r="I12" s="10"/>
      <c r="J12" s="11" t="s">
        <v>5</v>
      </c>
      <c r="K12" s="1" t="str">
        <f>C12</f>
        <v>MeOH Cond.</v>
      </c>
      <c r="O12" s="12"/>
    </row>
    <row r="13" spans="2:41" x14ac:dyDescent="0.3">
      <c r="B13" s="8" t="s">
        <v>6</v>
      </c>
      <c r="C13" s="13">
        <v>100000</v>
      </c>
      <c r="D13" s="14" t="s">
        <v>7</v>
      </c>
      <c r="E13" s="15" t="s">
        <v>8</v>
      </c>
      <c r="F13" s="14" t="s">
        <v>7</v>
      </c>
      <c r="I13" s="10"/>
      <c r="J13" s="11" t="s">
        <v>9</v>
      </c>
      <c r="K13" s="1">
        <f>C13</f>
        <v>100000</v>
      </c>
      <c r="L13" s="1" t="str">
        <f>D13</f>
        <v>kg/h</v>
      </c>
      <c r="O13" s="12"/>
    </row>
    <row r="14" spans="2:41" x14ac:dyDescent="0.3">
      <c r="B14" s="8" t="s">
        <v>10</v>
      </c>
      <c r="C14" s="13">
        <v>95</v>
      </c>
      <c r="D14" s="14" t="s">
        <v>11</v>
      </c>
      <c r="E14" s="13">
        <v>25</v>
      </c>
      <c r="F14" s="14" t="s">
        <v>11</v>
      </c>
      <c r="I14" s="10"/>
      <c r="O14" s="12"/>
    </row>
    <row r="15" spans="2:41" x14ac:dyDescent="0.3">
      <c r="B15" s="8" t="s">
        <v>12</v>
      </c>
      <c r="C15" s="16">
        <v>40</v>
      </c>
      <c r="D15" s="17" t="s">
        <v>11</v>
      </c>
      <c r="E15" s="18">
        <v>40</v>
      </c>
      <c r="F15" s="17" t="s">
        <v>11</v>
      </c>
      <c r="I15" s="10"/>
      <c r="J15" s="19" t="s">
        <v>13</v>
      </c>
      <c r="K15" s="19"/>
      <c r="M15" s="19" t="s">
        <v>14</v>
      </c>
      <c r="N15" s="19"/>
      <c r="O15" s="12"/>
    </row>
    <row r="16" spans="2:41" x14ac:dyDescent="0.3">
      <c r="B16" s="8" t="s">
        <v>15</v>
      </c>
      <c r="C16" s="16">
        <v>0.8</v>
      </c>
      <c r="D16" s="17" t="s">
        <v>16</v>
      </c>
      <c r="E16" s="18">
        <v>0.8</v>
      </c>
      <c r="F16" s="17" t="s">
        <v>16</v>
      </c>
      <c r="I16" s="10"/>
      <c r="J16" s="1">
        <f>C14</f>
        <v>95</v>
      </c>
      <c r="K16" s="1" t="str">
        <f>D14</f>
        <v>degC</v>
      </c>
      <c r="M16" s="1">
        <f>C15</f>
        <v>40</v>
      </c>
      <c r="N16" s="1" t="str">
        <f>D15</f>
        <v>degC</v>
      </c>
      <c r="O16" s="12"/>
    </row>
    <row r="17" spans="2:15" ht="16.2" x14ac:dyDescent="0.3">
      <c r="B17" s="8" t="s">
        <v>17</v>
      </c>
      <c r="C17" s="16">
        <v>2.0000000000000001E-4</v>
      </c>
      <c r="D17" s="17" t="s">
        <v>18</v>
      </c>
      <c r="E17" s="18">
        <v>2.9999999999999997E-4</v>
      </c>
      <c r="F17" s="17" t="s">
        <v>18</v>
      </c>
      <c r="G17" s="20" t="s">
        <v>19</v>
      </c>
      <c r="I17" s="10"/>
      <c r="O17" s="12"/>
    </row>
    <row r="18" spans="2:15" x14ac:dyDescent="0.3">
      <c r="I18" s="10"/>
      <c r="O18" s="12"/>
    </row>
    <row r="19" spans="2:15" x14ac:dyDescent="0.3">
      <c r="B19" s="21" t="s">
        <v>20</v>
      </c>
      <c r="C19" s="22" t="str">
        <f>C12</f>
        <v>MeOH Cond.</v>
      </c>
      <c r="D19" s="22"/>
      <c r="E19" s="22" t="str">
        <f>E12</f>
        <v>Brackish Water</v>
      </c>
      <c r="F19" s="22"/>
      <c r="I19" s="10"/>
      <c r="O19" s="12"/>
    </row>
    <row r="20" spans="2:15" ht="16.2" x14ac:dyDescent="0.3">
      <c r="B20" s="8" t="s">
        <v>21</v>
      </c>
      <c r="C20" s="13">
        <v>2.84</v>
      </c>
      <c r="D20" s="14" t="s">
        <v>22</v>
      </c>
      <c r="E20" s="23">
        <v>4.2</v>
      </c>
      <c r="F20" s="14" t="s">
        <v>22</v>
      </c>
      <c r="I20" s="10"/>
      <c r="O20" s="12"/>
    </row>
    <row r="21" spans="2:15" ht="16.2" x14ac:dyDescent="0.3">
      <c r="B21" s="8" t="s">
        <v>23</v>
      </c>
      <c r="C21" s="16">
        <v>0.34</v>
      </c>
      <c r="D21" s="17" t="s">
        <v>24</v>
      </c>
      <c r="E21" s="18">
        <v>0.8</v>
      </c>
      <c r="F21" s="17" t="s">
        <v>24</v>
      </c>
      <c r="I21" s="10"/>
      <c r="J21" s="19" t="s">
        <v>25</v>
      </c>
      <c r="K21" s="19"/>
      <c r="M21" s="19" t="s">
        <v>26</v>
      </c>
      <c r="N21" s="19"/>
      <c r="O21" s="12"/>
    </row>
    <row r="22" spans="2:15" ht="16.2" x14ac:dyDescent="0.3">
      <c r="B22" s="8" t="s">
        <v>27</v>
      </c>
      <c r="C22" s="16">
        <v>0.19</v>
      </c>
      <c r="D22" s="17" t="s">
        <v>28</v>
      </c>
      <c r="E22" s="18">
        <v>0.59</v>
      </c>
      <c r="F22" s="17" t="s">
        <v>28</v>
      </c>
      <c r="I22" s="10"/>
      <c r="J22" s="24">
        <f>E15</f>
        <v>40</v>
      </c>
      <c r="K22" s="1" t="str">
        <f>F15</f>
        <v>degC</v>
      </c>
      <c r="M22" s="1">
        <f>E14</f>
        <v>25</v>
      </c>
      <c r="N22" s="1" t="str">
        <f>F14</f>
        <v>degC</v>
      </c>
      <c r="O22" s="12"/>
    </row>
    <row r="23" spans="2:15" ht="16.2" x14ac:dyDescent="0.3">
      <c r="B23" s="8" t="s">
        <v>29</v>
      </c>
      <c r="C23" s="16">
        <v>750</v>
      </c>
      <c r="D23" s="17" t="s">
        <v>30</v>
      </c>
      <c r="E23" s="18">
        <v>995</v>
      </c>
      <c r="F23" s="17" t="s">
        <v>30</v>
      </c>
      <c r="I23" s="10"/>
      <c r="O23" s="12"/>
    </row>
    <row r="24" spans="2:15" x14ac:dyDescent="0.3">
      <c r="I24" s="10"/>
      <c r="J24" s="11" t="s">
        <v>31</v>
      </c>
      <c r="K24" s="1" t="str">
        <f>E12</f>
        <v>Brackish Water</v>
      </c>
      <c r="O24" s="12"/>
    </row>
    <row r="25" spans="2:15" x14ac:dyDescent="0.3">
      <c r="I25" s="10"/>
      <c r="J25" s="11" t="s">
        <v>9</v>
      </c>
      <c r="K25" s="1" t="str">
        <f>E13</f>
        <v>-</v>
      </c>
      <c r="L25" s="1" t="str">
        <f>F13</f>
        <v>kg/h</v>
      </c>
      <c r="O25" s="12"/>
    </row>
    <row r="26" spans="2:15" ht="21.6" thickBot="1" x14ac:dyDescent="0.45">
      <c r="B26" s="25" t="s">
        <v>32</v>
      </c>
      <c r="I26" s="26"/>
      <c r="J26" s="27"/>
      <c r="K26" s="27"/>
      <c r="L26" s="27"/>
      <c r="M26" s="27"/>
      <c r="N26" s="27"/>
      <c r="O26" s="28"/>
    </row>
    <row r="27" spans="2:15" x14ac:dyDescent="0.3">
      <c r="B27" s="1" t="s">
        <v>33</v>
      </c>
      <c r="C27" s="29">
        <f>C13*C20*(C14-C15)/3600</f>
        <v>4338.8888888888887</v>
      </c>
      <c r="D27" s="1" t="s">
        <v>34</v>
      </c>
    </row>
    <row r="29" spans="2:15" x14ac:dyDescent="0.3">
      <c r="B29" s="1" t="s">
        <v>35</v>
      </c>
      <c r="C29" s="29">
        <f>C27/E20/(E15-E14)</f>
        <v>68.871252204585531</v>
      </c>
      <c r="D29" s="1" t="s">
        <v>36</v>
      </c>
    </row>
    <row r="30" spans="2:15" x14ac:dyDescent="0.3">
      <c r="C30" s="1">
        <f>C29*3600</f>
        <v>247936.5079365079</v>
      </c>
      <c r="D30" s="1" t="s">
        <v>7</v>
      </c>
    </row>
    <row r="32" spans="2:15" ht="21" x14ac:dyDescent="0.4">
      <c r="B32" s="25" t="s">
        <v>37</v>
      </c>
    </row>
    <row r="33" spans="2:11" x14ac:dyDescent="0.3">
      <c r="B33" s="1" t="s">
        <v>38</v>
      </c>
    </row>
    <row r="35" spans="2:11" ht="21" x14ac:dyDescent="0.4">
      <c r="B35" s="25" t="s">
        <v>39</v>
      </c>
    </row>
    <row r="36" spans="2:11" ht="16.2" x14ac:dyDescent="0.3">
      <c r="B36" s="1" t="s">
        <v>40</v>
      </c>
      <c r="C36" s="30">
        <v>600</v>
      </c>
      <c r="D36" s="1" t="s">
        <v>41</v>
      </c>
      <c r="E36" s="20" t="s">
        <v>42</v>
      </c>
    </row>
    <row r="38" spans="2:11" ht="21" x14ac:dyDescent="0.4">
      <c r="B38" s="25" t="s">
        <v>43</v>
      </c>
    </row>
    <row r="39" spans="2:11" ht="18" x14ac:dyDescent="0.4">
      <c r="B39" s="31" t="s">
        <v>44</v>
      </c>
      <c r="C39" s="29">
        <f>((J16-J22)-(M16-M22))/LN((J16-J22)/(M16-M22))</f>
        <v>30.78621092446306</v>
      </c>
      <c r="D39" s="1" t="s">
        <v>45</v>
      </c>
      <c r="E39" s="1" t="s">
        <v>46</v>
      </c>
    </row>
    <row r="40" spans="2:11" x14ac:dyDescent="0.3">
      <c r="K40"/>
    </row>
    <row r="41" spans="2:11" x14ac:dyDescent="0.3">
      <c r="B41" s="21" t="s">
        <v>47</v>
      </c>
    </row>
    <row r="42" spans="2:11" x14ac:dyDescent="0.3">
      <c r="B42" s="1" t="s">
        <v>48</v>
      </c>
    </row>
    <row r="45" spans="2:11" x14ac:dyDescent="0.3">
      <c r="B45" s="1" t="s">
        <v>49</v>
      </c>
    </row>
    <row r="46" spans="2:11" ht="18" x14ac:dyDescent="0.4">
      <c r="B46" s="31" t="s">
        <v>50</v>
      </c>
    </row>
    <row r="47" spans="2:11" ht="18" x14ac:dyDescent="0.4">
      <c r="B47" s="31" t="s">
        <v>51</v>
      </c>
    </row>
    <row r="51" spans="2:7" x14ac:dyDescent="0.3">
      <c r="B51" s="1" t="s">
        <v>52</v>
      </c>
      <c r="C51" s="32">
        <v>1</v>
      </c>
    </row>
    <row r="52" spans="2:7" x14ac:dyDescent="0.3">
      <c r="B52" s="1" t="s">
        <v>53</v>
      </c>
      <c r="C52" s="32">
        <v>2</v>
      </c>
    </row>
    <row r="54" spans="2:7" x14ac:dyDescent="0.3">
      <c r="B54" s="1" t="s">
        <v>54</v>
      </c>
      <c r="C54" s="33">
        <f>(E15-E14)/(C14-E14)</f>
        <v>0.21428571428571427</v>
      </c>
    </row>
    <row r="55" spans="2:7" x14ac:dyDescent="0.3">
      <c r="B55" s="1" t="s">
        <v>55</v>
      </c>
      <c r="C55" s="33">
        <f>(C14-C15)/(E15-E14)</f>
        <v>3.6666666666666665</v>
      </c>
    </row>
    <row r="56" spans="2:7" x14ac:dyDescent="0.3">
      <c r="F56" s="21" t="s">
        <v>56</v>
      </c>
    </row>
    <row r="57" spans="2:7" x14ac:dyDescent="0.3">
      <c r="B57" s="1" t="s">
        <v>57</v>
      </c>
      <c r="C57" s="33">
        <f>((1-C54*C55)/(1-C54))^(1/C51)</f>
        <v>0.27272727272727287</v>
      </c>
      <c r="F57" s="1" t="s">
        <v>58</v>
      </c>
      <c r="G57" s="33">
        <f>(C51-C51*C54)/(C51-C51*C54+C54)</f>
        <v>0.7857142857142857</v>
      </c>
    </row>
    <row r="58" spans="2:7" x14ac:dyDescent="0.3">
      <c r="B58" s="1" t="s">
        <v>59</v>
      </c>
      <c r="C58" s="33">
        <f>((C55^2+1)^(1/2))/(C55-1)</f>
        <v>1.4252192813739224</v>
      </c>
    </row>
    <row r="59" spans="2:7" x14ac:dyDescent="0.3">
      <c r="B59" s="1" t="s">
        <v>60</v>
      </c>
      <c r="C59" s="34">
        <f>C58*LN(C57)/LN((1+C57-C58+C58*C57)/(1+C57+C58-C58*C57))</f>
        <v>0.81218333268246978</v>
      </c>
      <c r="F59" s="1" t="s">
        <v>60</v>
      </c>
      <c r="G59" s="33">
        <f>SQRT(2)*((1-G57)/G57)/LN(((G57/(1-G57))+(1/SQRT(2)))/((G57/(1-G57))-(1/SQRT(2))))</f>
        <v>0.98747790902414367</v>
      </c>
    </row>
    <row r="61" spans="2:7" ht="18" x14ac:dyDescent="0.4">
      <c r="B61" s="31" t="s">
        <v>61</v>
      </c>
      <c r="C61" s="29">
        <f>IF(C52=1,C39,IF(C55=1,G59*(C15-E14),C59*C39))</f>
        <v>25.004047389295867</v>
      </c>
      <c r="D61" s="1" t="s">
        <v>45</v>
      </c>
    </row>
    <row r="63" spans="2:7" ht="21" x14ac:dyDescent="0.4">
      <c r="B63" s="25" t="s">
        <v>62</v>
      </c>
    </row>
    <row r="64" spans="2:7" x14ac:dyDescent="0.3">
      <c r="B64" s="1" t="s">
        <v>63</v>
      </c>
      <c r="C64" s="29">
        <f>C27*1000/C36/C61</f>
        <v>289.21243704638192</v>
      </c>
      <c r="D64" s="1" t="s">
        <v>64</v>
      </c>
      <c r="E64" s="1" t="s">
        <v>65</v>
      </c>
    </row>
    <row r="66" spans="2:7" ht="21" x14ac:dyDescent="0.4">
      <c r="B66" s="25" t="s">
        <v>66</v>
      </c>
    </row>
    <row r="67" spans="2:7" x14ac:dyDescent="0.3">
      <c r="B67" s="21" t="s">
        <v>67</v>
      </c>
    </row>
    <row r="68" spans="2:7" x14ac:dyDescent="0.3">
      <c r="B68" s="1" t="s">
        <v>68</v>
      </c>
    </row>
    <row r="70" spans="2:7" x14ac:dyDescent="0.3">
      <c r="B70" s="1" t="s">
        <v>69</v>
      </c>
    </row>
    <row r="71" spans="2:7" x14ac:dyDescent="0.3">
      <c r="B71" s="1" t="s">
        <v>70</v>
      </c>
      <c r="C71" s="32">
        <v>20</v>
      </c>
      <c r="D71" s="1" t="s">
        <v>71</v>
      </c>
      <c r="E71" s="35" t="s">
        <v>72</v>
      </c>
    </row>
    <row r="72" spans="2:7" x14ac:dyDescent="0.3">
      <c r="B72" s="1" t="s">
        <v>73</v>
      </c>
      <c r="C72" s="32">
        <v>16</v>
      </c>
      <c r="D72" s="1" t="s">
        <v>71</v>
      </c>
    </row>
    <row r="73" spans="2:7" x14ac:dyDescent="0.3">
      <c r="B73" s="1" t="s">
        <v>74</v>
      </c>
      <c r="C73" s="32">
        <v>4.88</v>
      </c>
      <c r="D73" s="1" t="s">
        <v>75</v>
      </c>
      <c r="E73" s="35" t="s">
        <v>76</v>
      </c>
      <c r="G73" s="1">
        <f>C76</f>
        <v>4.83</v>
      </c>
    </row>
    <row r="74" spans="2:7" x14ac:dyDescent="0.3">
      <c r="B74" s="1" t="s">
        <v>77</v>
      </c>
      <c r="C74" s="32" t="s">
        <v>78</v>
      </c>
      <c r="G74" s="1">
        <f>C73</f>
        <v>4.88</v>
      </c>
    </row>
    <row r="75" spans="2:7" x14ac:dyDescent="0.3">
      <c r="B75" s="1" t="s">
        <v>79</v>
      </c>
      <c r="C75" s="32">
        <v>25</v>
      </c>
      <c r="D75" s="1" t="s">
        <v>71</v>
      </c>
    </row>
    <row r="76" spans="2:7" x14ac:dyDescent="0.3">
      <c r="B76" s="1" t="s">
        <v>80</v>
      </c>
      <c r="C76" s="1">
        <f>C73-C75*2/1000</f>
        <v>4.83</v>
      </c>
      <c r="D76" s="1" t="s">
        <v>75</v>
      </c>
    </row>
    <row r="77" spans="2:7" x14ac:dyDescent="0.3">
      <c r="B77" s="1" t="s">
        <v>81</v>
      </c>
      <c r="C77" s="32">
        <v>1.25</v>
      </c>
      <c r="D77" s="32" t="s">
        <v>82</v>
      </c>
    </row>
    <row r="80" spans="2:7" ht="21" x14ac:dyDescent="0.4">
      <c r="B80" s="25" t="s">
        <v>83</v>
      </c>
    </row>
    <row r="82" spans="2:14" x14ac:dyDescent="0.3">
      <c r="B82" s="1" t="s">
        <v>84</v>
      </c>
      <c r="C82" s="33">
        <f>PI()*(C71/1000)*C76</f>
        <v>0.30347785033677405</v>
      </c>
      <c r="D82" s="1" t="s">
        <v>64</v>
      </c>
    </row>
    <row r="84" spans="2:14" x14ac:dyDescent="0.3">
      <c r="B84" s="1" t="s">
        <v>85</v>
      </c>
      <c r="C84" s="29">
        <f>MROUND(ROUNDUP(C64/C82,1),2)</f>
        <v>954</v>
      </c>
      <c r="E84" s="35" t="s">
        <v>86</v>
      </c>
    </row>
    <row r="85" spans="2:14" x14ac:dyDescent="0.3">
      <c r="B85" s="1" t="s">
        <v>87</v>
      </c>
      <c r="C85" s="29">
        <f>C84*C82</f>
        <v>289.51786922128247</v>
      </c>
      <c r="D85" s="1" t="s">
        <v>64</v>
      </c>
    </row>
    <row r="86" spans="2:14" ht="21" x14ac:dyDescent="0.4">
      <c r="B86" s="25" t="s">
        <v>88</v>
      </c>
      <c r="I86" s="21" t="s">
        <v>89</v>
      </c>
    </row>
    <row r="87" spans="2:14" x14ac:dyDescent="0.3">
      <c r="H87" s="36"/>
      <c r="I87" s="37" t="s">
        <v>90</v>
      </c>
      <c r="J87" s="8">
        <v>1</v>
      </c>
      <c r="K87" s="8">
        <v>2</v>
      </c>
      <c r="L87" s="8">
        <v>4</v>
      </c>
      <c r="M87" s="8">
        <v>6</v>
      </c>
      <c r="N87" s="8">
        <v>8</v>
      </c>
    </row>
    <row r="88" spans="2:14" x14ac:dyDescent="0.3">
      <c r="H88" s="36"/>
      <c r="I88" s="37" t="s">
        <v>91</v>
      </c>
      <c r="J88" s="38">
        <v>0.31900000000000001</v>
      </c>
      <c r="K88" s="38">
        <v>0.249</v>
      </c>
      <c r="L88" s="38">
        <v>0.17499999999999999</v>
      </c>
      <c r="M88" s="38">
        <v>7.4300000000000005E-2</v>
      </c>
      <c r="N88" s="38">
        <v>3.6499999999999998E-2</v>
      </c>
    </row>
    <row r="89" spans="2:14" x14ac:dyDescent="0.3">
      <c r="B89" s="1" t="s">
        <v>92</v>
      </c>
      <c r="C89" s="1">
        <f>C52</f>
        <v>2</v>
      </c>
      <c r="H89" s="39"/>
      <c r="I89" s="40" t="s">
        <v>93</v>
      </c>
      <c r="J89" s="38">
        <v>2.1419999999999999</v>
      </c>
      <c r="K89" s="38">
        <v>2.2069999999999999</v>
      </c>
      <c r="L89" s="38">
        <v>2.2850000000000001</v>
      </c>
      <c r="M89" s="38">
        <v>2.4990000000000001</v>
      </c>
      <c r="N89" s="38">
        <v>2.6749999999999998</v>
      </c>
    </row>
    <row r="90" spans="2:14" x14ac:dyDescent="0.3">
      <c r="B90" s="1" t="s">
        <v>91</v>
      </c>
      <c r="C90" s="1">
        <f>IF(D77="Triangular",HLOOKUP(C89,I87:N89,2,FALSE),HLOOKUP(C89,I92:N94,2,FALSE))</f>
        <v>0.249</v>
      </c>
    </row>
    <row r="91" spans="2:14" x14ac:dyDescent="0.3">
      <c r="B91" s="1" t="s">
        <v>93</v>
      </c>
      <c r="C91" s="1">
        <f>IF(D77="Triangular",HLOOKUP(C89,I87:N89,3,FALSE),HLOOKUP(C89,I92:N94,3,FALSE))</f>
        <v>2.2069999999999999</v>
      </c>
      <c r="I91" s="21" t="s">
        <v>94</v>
      </c>
    </row>
    <row r="92" spans="2:14" x14ac:dyDescent="0.3">
      <c r="H92" s="36"/>
      <c r="I92" s="37" t="s">
        <v>90</v>
      </c>
      <c r="J92" s="8">
        <v>1</v>
      </c>
      <c r="K92" s="8">
        <v>2</v>
      </c>
      <c r="L92" s="8">
        <v>4</v>
      </c>
      <c r="M92" s="8">
        <v>6</v>
      </c>
      <c r="N92" s="8">
        <v>8</v>
      </c>
    </row>
    <row r="93" spans="2:14" x14ac:dyDescent="0.3">
      <c r="B93" s="1" t="s">
        <v>95</v>
      </c>
      <c r="C93" s="29">
        <f>C71*(C84/C90)^(1/C91)</f>
        <v>840.73459078995461</v>
      </c>
      <c r="D93" s="1" t="s">
        <v>71</v>
      </c>
      <c r="H93" s="36"/>
      <c r="I93" s="37" t="s">
        <v>91</v>
      </c>
      <c r="J93" s="38">
        <v>0.215</v>
      </c>
      <c r="K93" s="38">
        <v>0.156</v>
      </c>
      <c r="L93" s="38">
        <v>0.158</v>
      </c>
      <c r="M93" s="38">
        <v>4.02E-2</v>
      </c>
      <c r="N93" s="38">
        <v>3.3099999999999997E-2</v>
      </c>
    </row>
    <row r="94" spans="2:14" x14ac:dyDescent="0.3">
      <c r="H94" s="39"/>
      <c r="I94" s="40" t="s">
        <v>93</v>
      </c>
      <c r="J94" s="38">
        <v>2.2069999999999999</v>
      </c>
      <c r="K94" s="38">
        <v>2.2909999999999999</v>
      </c>
      <c r="L94" s="38">
        <v>2.2629999999999999</v>
      </c>
      <c r="M94" s="38">
        <v>2.617</v>
      </c>
      <c r="N94" s="38">
        <v>2.6429999999999998</v>
      </c>
    </row>
    <row r="95" spans="2:14" x14ac:dyDescent="0.3">
      <c r="B95" s="1" t="s">
        <v>96</v>
      </c>
    </row>
    <row r="96" spans="2:14" x14ac:dyDescent="0.3">
      <c r="B96" s="1" t="s">
        <v>97</v>
      </c>
      <c r="C96" s="30">
        <f>'[1]Shell-bundle clearance table'!J9</f>
        <v>68</v>
      </c>
      <c r="D96" s="1" t="s">
        <v>71</v>
      </c>
      <c r="I96" s="21"/>
    </row>
    <row r="97" spans="2:29" x14ac:dyDescent="0.3">
      <c r="G97" s="29"/>
      <c r="I97" s="41"/>
      <c r="J97" s="41"/>
    </row>
    <row r="98" spans="2:29" x14ac:dyDescent="0.3">
      <c r="B98" s="1" t="s">
        <v>98</v>
      </c>
      <c r="C98" s="29">
        <f>C93+C96</f>
        <v>908.73459078995461</v>
      </c>
      <c r="D98" s="1" t="s">
        <v>71</v>
      </c>
      <c r="I98" s="42"/>
      <c r="J98" s="42"/>
    </row>
    <row r="99" spans="2:29" x14ac:dyDescent="0.3">
      <c r="I99" s="42"/>
      <c r="J99" s="42"/>
    </row>
    <row r="101" spans="2:29" ht="21" x14ac:dyDescent="0.4">
      <c r="B101" s="25" t="s">
        <v>99</v>
      </c>
      <c r="J101" s="29"/>
    </row>
    <row r="104" spans="2:29" x14ac:dyDescent="0.3">
      <c r="B104" s="1" t="s">
        <v>100</v>
      </c>
      <c r="C104" s="43">
        <f>PI()/4*(C72/1000)^2</f>
        <v>2.0106192982974675E-4</v>
      </c>
      <c r="D104" s="1" t="s">
        <v>64</v>
      </c>
    </row>
    <row r="105" spans="2:29" x14ac:dyDescent="0.3">
      <c r="B105" s="1" t="s">
        <v>101</v>
      </c>
      <c r="C105" s="1">
        <f>C84/C89</f>
        <v>477</v>
      </c>
    </row>
    <row r="106" spans="2:29" x14ac:dyDescent="0.3">
      <c r="B106" s="1" t="s">
        <v>102</v>
      </c>
      <c r="C106" s="44">
        <f>C105*C104</f>
        <v>9.5906540528789191E-2</v>
      </c>
      <c r="D106" s="1" t="s">
        <v>64</v>
      </c>
    </row>
    <row r="108" spans="2:29" x14ac:dyDescent="0.3">
      <c r="B108" s="1" t="s">
        <v>103</v>
      </c>
      <c r="C108" s="1">
        <f t="shared" ref="C108:D111" si="0">E20</f>
        <v>4.2</v>
      </c>
      <c r="D108" s="1" t="str">
        <f t="shared" si="0"/>
        <v>kJ/kgoC</v>
      </c>
    </row>
    <row r="109" spans="2:29" x14ac:dyDescent="0.3">
      <c r="B109" s="1" t="s">
        <v>104</v>
      </c>
      <c r="C109" s="1">
        <f t="shared" si="0"/>
        <v>0.8</v>
      </c>
      <c r="D109" s="1" t="str">
        <f t="shared" si="0"/>
        <v>mNs/m2</v>
      </c>
      <c r="R109" s="45"/>
      <c r="S109" s="46"/>
      <c r="T109" s="46"/>
      <c r="U109" s="46"/>
      <c r="V109" s="46"/>
      <c r="W109" s="46"/>
      <c r="X109"/>
      <c r="Y109"/>
      <c r="Z109"/>
      <c r="AA109"/>
      <c r="AB109"/>
      <c r="AC109"/>
    </row>
    <row r="110" spans="2:29" x14ac:dyDescent="0.3">
      <c r="B110" s="1" t="s">
        <v>105</v>
      </c>
      <c r="C110" s="1">
        <f t="shared" si="0"/>
        <v>0.59</v>
      </c>
      <c r="D110" s="1" t="str">
        <f t="shared" si="0"/>
        <v>W/moC</v>
      </c>
      <c r="R110" s="45"/>
      <c r="S110" s="47"/>
      <c r="T110" s="47"/>
      <c r="U110" s="47"/>
      <c r="V110" s="47"/>
      <c r="W110" s="47"/>
      <c r="X110"/>
      <c r="Y110"/>
      <c r="Z110"/>
      <c r="AA110"/>
      <c r="AB110"/>
      <c r="AC110"/>
    </row>
    <row r="111" spans="2:29" x14ac:dyDescent="0.3">
      <c r="B111" s="1" t="s">
        <v>106</v>
      </c>
      <c r="C111" s="1">
        <f t="shared" si="0"/>
        <v>995</v>
      </c>
      <c r="D111" s="1" t="str">
        <f t="shared" si="0"/>
        <v>kg/m3</v>
      </c>
      <c r="R111" s="48"/>
      <c r="S111" s="49"/>
      <c r="T111" s="49"/>
      <c r="U111" s="49"/>
      <c r="V111" s="49"/>
      <c r="W111" s="49"/>
      <c r="X111"/>
      <c r="Y111"/>
      <c r="Z111" s="47"/>
      <c r="AA111"/>
      <c r="AB111"/>
      <c r="AC111"/>
    </row>
    <row r="112" spans="2:29" x14ac:dyDescent="0.3">
      <c r="R112" s="48"/>
      <c r="S112" s="49"/>
      <c r="T112" s="49"/>
      <c r="U112" s="49"/>
      <c r="V112" s="49"/>
      <c r="W112" s="49"/>
      <c r="X112"/>
      <c r="Y112"/>
      <c r="Z112" s="47"/>
      <c r="AA112"/>
      <c r="AB112"/>
      <c r="AC112"/>
    </row>
    <row r="113" spans="2:29" x14ac:dyDescent="0.3">
      <c r="B113" s="1" t="s">
        <v>107</v>
      </c>
      <c r="C113" s="34">
        <f>C29/C111/C106</f>
        <v>0.72171656403666551</v>
      </c>
      <c r="D113" s="1" t="s">
        <v>108</v>
      </c>
      <c r="R113" s="48"/>
      <c r="S113" s="49"/>
      <c r="T113" s="49"/>
      <c r="U113" s="49"/>
      <c r="V113" s="49"/>
      <c r="W113" s="49"/>
      <c r="X113"/>
      <c r="Y113"/>
      <c r="Z113" s="47"/>
      <c r="AA113" s="50"/>
      <c r="AB113"/>
      <c r="AC113"/>
    </row>
    <row r="114" spans="2:29" x14ac:dyDescent="0.3">
      <c r="R114" s="48"/>
      <c r="S114" s="49"/>
      <c r="T114" s="49"/>
      <c r="U114" s="49"/>
      <c r="V114" s="49"/>
      <c r="W114" s="49"/>
      <c r="X114"/>
      <c r="Y114"/>
      <c r="Z114"/>
      <c r="AA114"/>
      <c r="AB114"/>
      <c r="AC114"/>
    </row>
    <row r="115" spans="2:29" x14ac:dyDescent="0.3">
      <c r="B115" s="1" t="s">
        <v>109</v>
      </c>
      <c r="C115" s="51">
        <f>C72/1000*C113*C111/(C109/1000)</f>
        <v>14362.159624329644</v>
      </c>
      <c r="R115" s="48"/>
      <c r="S115" s="49"/>
      <c r="T115" s="49"/>
      <c r="U115" s="49"/>
      <c r="V115" s="49"/>
      <c r="W115" s="49"/>
      <c r="X115"/>
      <c r="Y115"/>
      <c r="Z115"/>
      <c r="AA115"/>
      <c r="AB115"/>
      <c r="AC115"/>
    </row>
    <row r="116" spans="2:29" x14ac:dyDescent="0.3">
      <c r="B116" s="1" t="s">
        <v>110</v>
      </c>
      <c r="C116" s="29">
        <f>C109/1000*C108*1000/C110</f>
        <v>5.6949152542372889</v>
      </c>
      <c r="R116" s="48"/>
      <c r="S116" s="49"/>
      <c r="T116" s="49"/>
      <c r="U116" s="49"/>
      <c r="V116" s="49"/>
      <c r="W116" s="49"/>
      <c r="X116"/>
      <c r="Y116"/>
      <c r="Z116" s="47"/>
      <c r="AA116" s="47"/>
      <c r="AB116" s="47"/>
      <c r="AC116" s="47"/>
    </row>
    <row r="117" spans="2:29" x14ac:dyDescent="0.3">
      <c r="R117" s="48"/>
      <c r="S117" s="49"/>
      <c r="T117" s="49"/>
      <c r="U117" s="49"/>
      <c r="V117" s="49"/>
      <c r="W117" s="49"/>
      <c r="X117"/>
      <c r="Y117"/>
      <c r="Z117"/>
      <c r="AA117"/>
      <c r="AB117"/>
      <c r="AC117"/>
    </row>
    <row r="118" spans="2:29" x14ac:dyDescent="0.3">
      <c r="B118" s="1" t="s">
        <v>111</v>
      </c>
      <c r="C118" s="51">
        <f>C76/C72*1000</f>
        <v>301.875</v>
      </c>
      <c r="R118" s="48"/>
      <c r="S118" s="49"/>
      <c r="T118" s="49"/>
      <c r="U118" s="49"/>
      <c r="V118" s="49"/>
      <c r="W118" s="49"/>
      <c r="X118"/>
      <c r="Y118"/>
      <c r="Z118"/>
      <c r="AA118"/>
      <c r="AB118"/>
      <c r="AC118"/>
    </row>
    <row r="119" spans="2:29" x14ac:dyDescent="0.3">
      <c r="R119" s="48"/>
      <c r="S119" s="49"/>
      <c r="T119" s="49"/>
      <c r="U119" s="49"/>
      <c r="V119" s="49"/>
      <c r="W119" s="49"/>
      <c r="X119"/>
      <c r="Y119"/>
      <c r="Z119"/>
      <c r="AA119"/>
      <c r="AB119"/>
      <c r="AC119"/>
    </row>
    <row r="120" spans="2:29" x14ac:dyDescent="0.3">
      <c r="B120" s="1" t="s">
        <v>112</v>
      </c>
      <c r="C120" s="52">
        <f>'[1]TS jh factor table'!L11</f>
        <v>3.9753489053062268E-3</v>
      </c>
      <c r="R120" s="48"/>
      <c r="S120" s="49"/>
      <c r="T120" s="49"/>
      <c r="U120" s="49"/>
      <c r="V120" s="49"/>
      <c r="W120" s="49"/>
      <c r="X120"/>
      <c r="Y120"/>
      <c r="Z120"/>
      <c r="AA120"/>
      <c r="AB120"/>
      <c r="AC120"/>
    </row>
    <row r="121" spans="2:29" x14ac:dyDescent="0.3">
      <c r="R121" s="48"/>
      <c r="S121" s="49"/>
      <c r="T121" s="49"/>
      <c r="U121" s="49"/>
      <c r="V121" s="49"/>
      <c r="W121" s="49"/>
      <c r="X121"/>
      <c r="Y121"/>
      <c r="Z121"/>
      <c r="AA121"/>
      <c r="AB121"/>
      <c r="AC121"/>
    </row>
    <row r="122" spans="2:29" x14ac:dyDescent="0.3">
      <c r="B122" s="1" t="s">
        <v>113</v>
      </c>
      <c r="C122" s="29">
        <f>C120*C115*C116^0.33*C110/(C72/1000)</f>
        <v>3737.9873509895524</v>
      </c>
      <c r="D122" s="1" t="s">
        <v>114</v>
      </c>
      <c r="R122" s="48"/>
      <c r="S122" s="49"/>
      <c r="T122" s="49"/>
      <c r="U122" s="49"/>
      <c r="V122" s="49"/>
      <c r="W122" s="49"/>
      <c r="X122"/>
      <c r="Y122"/>
      <c r="Z122"/>
      <c r="AA122"/>
      <c r="AB122"/>
      <c r="AC122"/>
    </row>
    <row r="123" spans="2:29" x14ac:dyDescent="0.3">
      <c r="R123" s="48"/>
      <c r="S123" s="49"/>
      <c r="T123" s="49"/>
      <c r="U123" s="49"/>
      <c r="V123" s="49"/>
      <c r="W123" s="49"/>
      <c r="X123"/>
      <c r="Y123"/>
      <c r="Z123"/>
      <c r="AA123"/>
      <c r="AB123"/>
      <c r="AC123"/>
    </row>
    <row r="124" spans="2:29" ht="21" x14ac:dyDescent="0.4">
      <c r="B124" s="25" t="s">
        <v>115</v>
      </c>
      <c r="R124" s="48"/>
      <c r="S124" s="49"/>
      <c r="T124" s="49"/>
      <c r="U124" s="49"/>
      <c r="V124" s="49"/>
      <c r="W124" s="49"/>
      <c r="X124"/>
      <c r="Y124"/>
      <c r="Z124"/>
      <c r="AA124"/>
      <c r="AB124"/>
      <c r="AC124"/>
    </row>
    <row r="125" spans="2:29" x14ac:dyDescent="0.3">
      <c r="R125" s="48"/>
      <c r="S125" s="49"/>
      <c r="T125" s="49"/>
      <c r="U125" s="49"/>
      <c r="V125" s="49"/>
      <c r="W125" s="49"/>
      <c r="X125"/>
      <c r="Y125"/>
      <c r="Z125"/>
      <c r="AA125"/>
      <c r="AB125"/>
      <c r="AC125"/>
    </row>
    <row r="126" spans="2:29" x14ac:dyDescent="0.3">
      <c r="B126" s="1" t="s">
        <v>116</v>
      </c>
      <c r="C126" s="29">
        <f>C98/5*1.6</f>
        <v>290.79506905278549</v>
      </c>
      <c r="D126" s="1" t="s">
        <v>71</v>
      </c>
      <c r="E126" s="21"/>
      <c r="G126" s="11" t="s">
        <v>117</v>
      </c>
      <c r="H126" s="1" t="s">
        <v>118</v>
      </c>
      <c r="R126" s="48"/>
      <c r="S126" s="49"/>
      <c r="T126" s="49"/>
      <c r="U126" s="49"/>
      <c r="V126" s="49"/>
      <c r="W126" s="49"/>
      <c r="X126"/>
      <c r="Y126"/>
      <c r="Z126"/>
      <c r="AA126"/>
      <c r="AB126"/>
      <c r="AC126"/>
    </row>
    <row r="127" spans="2:29" x14ac:dyDescent="0.3">
      <c r="B127" s="1" t="s">
        <v>81</v>
      </c>
      <c r="C127" s="1">
        <f>C77*C71</f>
        <v>25</v>
      </c>
      <c r="D127" s="1" t="s">
        <v>71</v>
      </c>
      <c r="H127" s="1" t="s">
        <v>119</v>
      </c>
      <c r="R127" s="48"/>
      <c r="S127" s="49"/>
      <c r="T127" s="49"/>
      <c r="U127" s="49"/>
      <c r="V127" s="49"/>
      <c r="W127" s="49"/>
      <c r="X127"/>
      <c r="Y127"/>
      <c r="Z127"/>
      <c r="AA127"/>
      <c r="AB127"/>
      <c r="AC127"/>
    </row>
    <row r="128" spans="2:29" x14ac:dyDescent="0.3">
      <c r="R128" s="48"/>
      <c r="S128" s="49"/>
      <c r="T128" s="49"/>
      <c r="U128" s="49"/>
      <c r="V128" s="49"/>
      <c r="W128" s="49"/>
      <c r="X128"/>
      <c r="Y128"/>
      <c r="Z128"/>
      <c r="AA128"/>
      <c r="AB128"/>
      <c r="AC128"/>
    </row>
    <row r="129" spans="2:29" x14ac:dyDescent="0.3">
      <c r="B129" s="1" t="s">
        <v>120</v>
      </c>
      <c r="C129" s="33">
        <f>(C127-C71)*C98*C126/C127/1000000</f>
        <v>5.2851107615883922E-2</v>
      </c>
      <c r="D129" s="1" t="s">
        <v>64</v>
      </c>
      <c r="R129" s="48"/>
      <c r="S129" s="49"/>
      <c r="T129" s="49"/>
      <c r="U129" s="49"/>
      <c r="V129" s="49"/>
      <c r="W129" s="49"/>
      <c r="X129"/>
      <c r="Y129"/>
      <c r="Z129"/>
      <c r="AA129"/>
      <c r="AB129"/>
      <c r="AC129"/>
    </row>
    <row r="130" spans="2:29" ht="15" thickBot="1" x14ac:dyDescent="0.35">
      <c r="R130" s="48"/>
      <c r="S130" s="49"/>
      <c r="T130" s="49"/>
      <c r="U130" s="49"/>
      <c r="V130" s="49"/>
      <c r="W130" s="49"/>
      <c r="X130"/>
      <c r="Y130"/>
      <c r="Z130"/>
      <c r="AA130"/>
      <c r="AB130"/>
      <c r="AC130"/>
    </row>
    <row r="131" spans="2:29" x14ac:dyDescent="0.3">
      <c r="B131" s="1" t="s">
        <v>121</v>
      </c>
      <c r="C131" s="44">
        <f>IF(D77="Triangular",1.1*(C127^2-0.917*C71^2)/C71/1000,1.27*(C127^2-0.785*C71^2)/C71/1000)</f>
        <v>1.4201000000000002E-2</v>
      </c>
      <c r="D131" s="1" t="s">
        <v>75</v>
      </c>
      <c r="G131" s="5" t="s">
        <v>122</v>
      </c>
      <c r="H131" s="6"/>
      <c r="I131" s="6"/>
      <c r="J131" s="6" t="s">
        <v>123</v>
      </c>
      <c r="K131" s="6"/>
      <c r="L131" s="7"/>
      <c r="R131" s="48"/>
      <c r="S131" s="49"/>
      <c r="T131" s="49"/>
      <c r="U131" s="49"/>
      <c r="V131" s="49"/>
      <c r="W131" s="49"/>
      <c r="X131" s="1" t="s">
        <v>124</v>
      </c>
      <c r="Y131"/>
      <c r="Z131"/>
      <c r="AA131"/>
      <c r="AB131"/>
      <c r="AC131"/>
    </row>
    <row r="132" spans="2:29" x14ac:dyDescent="0.3">
      <c r="G132" s="10"/>
      <c r="L132" s="12"/>
      <c r="R132" s="48"/>
      <c r="S132" s="49"/>
      <c r="T132" s="49"/>
      <c r="U132" s="49"/>
      <c r="V132" s="49"/>
      <c r="W132" s="49"/>
      <c r="X132" s="1" t="s">
        <v>82</v>
      </c>
      <c r="Y132"/>
      <c r="Z132"/>
      <c r="AA132"/>
      <c r="AB132"/>
      <c r="AC132"/>
    </row>
    <row r="133" spans="2:29" x14ac:dyDescent="0.3">
      <c r="B133" s="1" t="s">
        <v>125</v>
      </c>
      <c r="C133" s="34">
        <f>C13/C23/3600/C129</f>
        <v>0.70078071601106606</v>
      </c>
      <c r="D133" s="53" t="s">
        <v>108</v>
      </c>
      <c r="G133" s="10"/>
      <c r="L133" s="12"/>
      <c r="R133" s="48"/>
      <c r="S133" s="49"/>
      <c r="T133" s="49"/>
      <c r="U133" s="49"/>
      <c r="V133" s="49"/>
      <c r="W133" s="49"/>
      <c r="X133" s="1" t="s">
        <v>126</v>
      </c>
      <c r="Y133"/>
      <c r="Z133"/>
      <c r="AA133"/>
      <c r="AB133"/>
      <c r="AC133"/>
    </row>
    <row r="134" spans="2:29" x14ac:dyDescent="0.3">
      <c r="C134" s="53"/>
      <c r="D134" s="53"/>
      <c r="G134" s="10"/>
      <c r="L134" s="12"/>
      <c r="R134" s="48"/>
      <c r="S134" s="49"/>
      <c r="T134" s="49"/>
      <c r="U134" s="49"/>
      <c r="V134" s="49"/>
      <c r="W134" s="49"/>
      <c r="X134"/>
      <c r="Y134"/>
      <c r="Z134"/>
      <c r="AA134"/>
      <c r="AB134"/>
      <c r="AC134"/>
    </row>
    <row r="135" spans="2:29" ht="15" thickBot="1" x14ac:dyDescent="0.35">
      <c r="B135" s="1" t="s">
        <v>109</v>
      </c>
      <c r="C135" s="51">
        <f>C131*C133*C23/(C21/1000)</f>
        <v>21952.471208984887</v>
      </c>
      <c r="G135" s="26"/>
      <c r="H135" s="27"/>
      <c r="I135" s="27"/>
      <c r="J135" s="27"/>
      <c r="K135" s="27"/>
      <c r="L135" s="28"/>
      <c r="R135" s="48"/>
      <c r="S135" s="49"/>
      <c r="T135" s="49"/>
      <c r="U135" s="49"/>
      <c r="V135" s="49"/>
      <c r="W135" s="49"/>
      <c r="X135"/>
      <c r="Y135"/>
      <c r="Z135"/>
      <c r="AA135"/>
      <c r="AB135"/>
      <c r="AC135"/>
    </row>
    <row r="136" spans="2:29" x14ac:dyDescent="0.3">
      <c r="R136" s="48"/>
      <c r="S136" s="49"/>
      <c r="T136" s="49"/>
      <c r="U136" s="49"/>
      <c r="V136" s="49"/>
      <c r="W136" s="49"/>
      <c r="X136"/>
      <c r="Y136"/>
      <c r="Z136"/>
      <c r="AA136"/>
      <c r="AB136"/>
      <c r="AC136"/>
    </row>
    <row r="137" spans="2:29" x14ac:dyDescent="0.3">
      <c r="B137" s="1" t="s">
        <v>110</v>
      </c>
      <c r="C137" s="29">
        <f>C21/1000*C20*1000/C22</f>
        <v>5.0821052631578949</v>
      </c>
      <c r="R137" s="48"/>
      <c r="S137" s="49"/>
      <c r="T137" s="49"/>
      <c r="U137" s="49"/>
      <c r="V137" s="49"/>
      <c r="W137" s="49"/>
      <c r="X137"/>
      <c r="Y137"/>
      <c r="Z137"/>
      <c r="AA137"/>
      <c r="AB137"/>
      <c r="AC137"/>
    </row>
    <row r="139" spans="2:29" x14ac:dyDescent="0.3">
      <c r="B139" s="1" t="s">
        <v>127</v>
      </c>
      <c r="C139" s="54">
        <v>25</v>
      </c>
      <c r="D139" s="1" t="s">
        <v>128</v>
      </c>
    </row>
    <row r="140" spans="2:29" x14ac:dyDescent="0.3">
      <c r="C140" s="34"/>
    </row>
    <row r="141" spans="2:29" x14ac:dyDescent="0.3">
      <c r="B141" s="1" t="s">
        <v>112</v>
      </c>
      <c r="C141" s="52">
        <f>'[1]SS jh factor table'!M14</f>
        <v>4.0105387058075332E-3</v>
      </c>
    </row>
    <row r="143" spans="2:29" x14ac:dyDescent="0.3">
      <c r="B143" s="1" t="s">
        <v>129</v>
      </c>
      <c r="C143" s="29">
        <f>C141*C135*C137^0.33*C22/C131</f>
        <v>2014.2585156401262</v>
      </c>
      <c r="D143" s="1" t="s">
        <v>114</v>
      </c>
    </row>
    <row r="145" spans="2:5" ht="21" x14ac:dyDescent="0.4">
      <c r="B145" s="25" t="s">
        <v>130</v>
      </c>
    </row>
    <row r="147" spans="2:5" x14ac:dyDescent="0.3">
      <c r="B147" s="1" t="s">
        <v>131</v>
      </c>
    </row>
    <row r="148" spans="2:5" x14ac:dyDescent="0.3">
      <c r="C148" s="32">
        <v>50</v>
      </c>
      <c r="D148" s="1" t="s">
        <v>132</v>
      </c>
    </row>
    <row r="150" spans="2:5" x14ac:dyDescent="0.3">
      <c r="B150" s="1" t="s">
        <v>133</v>
      </c>
      <c r="C150" s="43">
        <f>1/C143+C17+C71/1000*LN(C71/C72)/2/C148+C71/C72*E17+C71/C72/C122</f>
        <v>1.4504938704988453E-3</v>
      </c>
    </row>
    <row r="151" spans="2:5" ht="16.2" x14ac:dyDescent="0.3">
      <c r="B151" s="1" t="s">
        <v>134</v>
      </c>
      <c r="C151" s="29">
        <f>1/C150</f>
        <v>689.42035560349245</v>
      </c>
      <c r="D151" s="1" t="s">
        <v>135</v>
      </c>
    </row>
    <row r="152" spans="2:5" x14ac:dyDescent="0.3">
      <c r="B152" s="1" t="s">
        <v>136</v>
      </c>
      <c r="C152" s="51">
        <f>C151*C82*C84*C61/1000</f>
        <v>4990.7956657323039</v>
      </c>
      <c r="D152" s="1" t="s">
        <v>34</v>
      </c>
    </row>
    <row r="154" spans="2:5" ht="21" x14ac:dyDescent="0.4">
      <c r="B154" s="25" t="s">
        <v>137</v>
      </c>
    </row>
    <row r="158" spans="2:5" x14ac:dyDescent="0.3">
      <c r="B158" s="1" t="s">
        <v>138</v>
      </c>
      <c r="D158" s="29">
        <f>(C151-C36)*100/C36</f>
        <v>14.903392600582077</v>
      </c>
      <c r="E158" s="1" t="s">
        <v>128</v>
      </c>
    </row>
    <row r="161" spans="2:4" ht="21" x14ac:dyDescent="0.4">
      <c r="B161" s="25" t="s">
        <v>139</v>
      </c>
    </row>
    <row r="163" spans="2:4" x14ac:dyDescent="0.3">
      <c r="B163" s="21" t="s">
        <v>140</v>
      </c>
    </row>
    <row r="165" spans="2:4" x14ac:dyDescent="0.3">
      <c r="B165" s="1" t="s">
        <v>141</v>
      </c>
      <c r="C165" s="55">
        <f>'[1]TS jf factor table'!H10</f>
        <v>4.3805952770370749E-3</v>
      </c>
    </row>
    <row r="166" spans="2:4" x14ac:dyDescent="0.3">
      <c r="B166" s="1" t="s">
        <v>142</v>
      </c>
      <c r="C166" s="51">
        <f>C52*(8*C165*C76/(C72/1000)+2.5)*(E23*C113^2)/2</f>
        <v>6778.5301970252276</v>
      </c>
      <c r="D166" s="1" t="s">
        <v>143</v>
      </c>
    </row>
    <row r="167" spans="2:4" x14ac:dyDescent="0.3">
      <c r="C167" s="29">
        <f>C166/1000</f>
        <v>6.7785301970252272</v>
      </c>
      <c r="D167" s="1" t="s">
        <v>144</v>
      </c>
    </row>
    <row r="169" spans="2:4" x14ac:dyDescent="0.3">
      <c r="B169" s="21" t="s">
        <v>145</v>
      </c>
    </row>
    <row r="170" spans="2:4" x14ac:dyDescent="0.3">
      <c r="B170" s="1" t="s">
        <v>146</v>
      </c>
      <c r="C170" s="55">
        <f>'[1]SS jf factor table'!L14</f>
        <v>4.4625735374688814E-2</v>
      </c>
    </row>
    <row r="171" spans="2:4" x14ac:dyDescent="0.3">
      <c r="B171" s="1" t="s">
        <v>147</v>
      </c>
      <c r="C171" s="51">
        <f>8*C170*(C98/C131/1000)*(C76/(C126/1000))*C23*C133^2/2</f>
        <v>69879.397277030876</v>
      </c>
      <c r="D171" s="1" t="s">
        <v>143</v>
      </c>
    </row>
    <row r="172" spans="2:4" x14ac:dyDescent="0.3">
      <c r="C172" s="51">
        <f>C171/1000</f>
        <v>69.879397277030876</v>
      </c>
      <c r="D172" s="1" t="s">
        <v>144</v>
      </c>
    </row>
    <row r="179" spans="2:18" ht="21" x14ac:dyDescent="0.4">
      <c r="B179" s="25" t="s">
        <v>148</v>
      </c>
      <c r="I179" s="25" t="s">
        <v>149</v>
      </c>
    </row>
    <row r="180" spans="2:18" ht="15" thickBot="1" x14ac:dyDescent="0.35"/>
    <row r="181" spans="2:18" ht="15" thickBot="1" x14ac:dyDescent="0.35">
      <c r="B181" s="56" t="s">
        <v>150</v>
      </c>
      <c r="C181" s="57"/>
      <c r="D181" s="57"/>
      <c r="E181" s="57"/>
      <c r="F181" s="57"/>
      <c r="G181" s="58"/>
      <c r="I181" s="56" t="s">
        <v>150</v>
      </c>
      <c r="J181" s="57"/>
      <c r="K181" s="57"/>
      <c r="L181" s="57"/>
      <c r="M181" s="57"/>
      <c r="N181" s="58"/>
      <c r="R181" s="1" t="s">
        <v>151</v>
      </c>
    </row>
    <row r="182" spans="2:18" ht="15" thickTop="1" x14ac:dyDescent="0.3">
      <c r="B182" s="59" t="s">
        <v>152</v>
      </c>
      <c r="C182" s="29">
        <f>C85</f>
        <v>289.51786922128247</v>
      </c>
      <c r="D182" s="29" t="str">
        <f>D85</f>
        <v>m2</v>
      </c>
      <c r="G182" s="12"/>
      <c r="I182" s="59" t="s">
        <v>152</v>
      </c>
      <c r="J182" s="29">
        <v>289.51786922128247</v>
      </c>
      <c r="K182" s="29" t="s">
        <v>64</v>
      </c>
      <c r="N182" s="12"/>
      <c r="R182" s="1" t="s">
        <v>127</v>
      </c>
    </row>
    <row r="183" spans="2:18" ht="15" thickBot="1" x14ac:dyDescent="0.35">
      <c r="B183" s="59" t="s">
        <v>153</v>
      </c>
      <c r="C183" s="29">
        <f>C151</f>
        <v>689.42035560349245</v>
      </c>
      <c r="D183" s="29" t="str">
        <f>D151</f>
        <v>W/m2 oC</v>
      </c>
      <c r="E183" s="21" t="s">
        <v>154</v>
      </c>
      <c r="F183" s="29">
        <f>D158</f>
        <v>14.903392600582077</v>
      </c>
      <c r="G183" s="12" t="str">
        <f>E158</f>
        <v>%</v>
      </c>
      <c r="I183" s="59" t="s">
        <v>153</v>
      </c>
      <c r="J183" s="29">
        <v>689.42035560349245</v>
      </c>
      <c r="K183" s="29" t="s">
        <v>155</v>
      </c>
      <c r="L183" s="21" t="s">
        <v>154</v>
      </c>
      <c r="M183" s="29">
        <v>14.903392600582077</v>
      </c>
      <c r="N183" s="12" t="s">
        <v>128</v>
      </c>
      <c r="R183" s="1" t="s">
        <v>156</v>
      </c>
    </row>
    <row r="184" spans="2:18" x14ac:dyDescent="0.3">
      <c r="B184" s="60" t="s">
        <v>157</v>
      </c>
      <c r="C184" s="6">
        <f>C52</f>
        <v>2</v>
      </c>
      <c r="D184" s="7"/>
      <c r="E184" s="60" t="s">
        <v>158</v>
      </c>
      <c r="F184" s="6">
        <f>C51</f>
        <v>1</v>
      </c>
      <c r="G184" s="7"/>
      <c r="I184" s="60" t="s">
        <v>157</v>
      </c>
      <c r="J184" s="6">
        <v>2</v>
      </c>
      <c r="K184" s="7"/>
      <c r="L184" s="60" t="s">
        <v>158</v>
      </c>
      <c r="M184" s="6">
        <v>1</v>
      </c>
      <c r="N184" s="7"/>
    </row>
    <row r="185" spans="2:18" x14ac:dyDescent="0.3">
      <c r="B185" s="59" t="s">
        <v>159</v>
      </c>
      <c r="C185" s="1">
        <f t="shared" ref="C185:D187" si="1">C71</f>
        <v>20</v>
      </c>
      <c r="D185" s="12" t="str">
        <f t="shared" si="1"/>
        <v>mm</v>
      </c>
      <c r="E185" s="59" t="s">
        <v>160</v>
      </c>
      <c r="F185" s="29">
        <f>C98</f>
        <v>908.73459078995461</v>
      </c>
      <c r="G185" s="12" t="s">
        <v>71</v>
      </c>
      <c r="I185" s="59" t="s">
        <v>159</v>
      </c>
      <c r="J185" s="1">
        <v>20</v>
      </c>
      <c r="K185" s="12" t="s">
        <v>71</v>
      </c>
      <c r="L185" s="59" t="s">
        <v>160</v>
      </c>
      <c r="M185" s="29">
        <v>908.73459078995461</v>
      </c>
      <c r="N185" s="12" t="s">
        <v>71</v>
      </c>
    </row>
    <row r="186" spans="2:18" x14ac:dyDescent="0.3">
      <c r="B186" s="59" t="s">
        <v>161</v>
      </c>
      <c r="C186" s="1">
        <f t="shared" si="1"/>
        <v>16</v>
      </c>
      <c r="D186" s="12" t="str">
        <f t="shared" si="1"/>
        <v>mm</v>
      </c>
      <c r="E186" s="59" t="s">
        <v>162</v>
      </c>
      <c r="F186" s="29">
        <f>C126</f>
        <v>290.79506905278549</v>
      </c>
      <c r="G186" s="12" t="s">
        <v>71</v>
      </c>
      <c r="I186" s="59" t="s">
        <v>161</v>
      </c>
      <c r="J186" s="1">
        <v>16</v>
      </c>
      <c r="K186" s="12" t="s">
        <v>71</v>
      </c>
      <c r="L186" s="59" t="s">
        <v>162</v>
      </c>
      <c r="M186" s="29">
        <v>290.79506905278549</v>
      </c>
      <c r="N186" s="12" t="s">
        <v>71</v>
      </c>
    </row>
    <row r="187" spans="2:18" x14ac:dyDescent="0.3">
      <c r="B187" s="59" t="s">
        <v>163</v>
      </c>
      <c r="C187" s="1">
        <f t="shared" si="1"/>
        <v>4.88</v>
      </c>
      <c r="D187" s="12" t="str">
        <f t="shared" si="1"/>
        <v>m</v>
      </c>
      <c r="E187" s="59" t="s">
        <v>164</v>
      </c>
      <c r="F187" s="51">
        <f>C139</f>
        <v>25</v>
      </c>
      <c r="G187" s="12" t="s">
        <v>128</v>
      </c>
      <c r="I187" s="59" t="s">
        <v>163</v>
      </c>
      <c r="J187" s="1">
        <v>4.88</v>
      </c>
      <c r="K187" s="12" t="s">
        <v>75</v>
      </c>
      <c r="L187" s="59" t="s">
        <v>164</v>
      </c>
      <c r="M187" s="51">
        <v>25</v>
      </c>
      <c r="N187" s="12" t="s">
        <v>128</v>
      </c>
    </row>
    <row r="188" spans="2:18" x14ac:dyDescent="0.3">
      <c r="B188" s="59" t="s">
        <v>165</v>
      </c>
      <c r="C188" s="1" t="str">
        <f>D77</f>
        <v>Triangular</v>
      </c>
      <c r="D188" s="12"/>
      <c r="E188" s="59"/>
      <c r="G188" s="12"/>
      <c r="I188" s="59" t="s">
        <v>165</v>
      </c>
      <c r="J188" s="1" t="s">
        <v>82</v>
      </c>
      <c r="K188" s="12"/>
      <c r="L188" s="59"/>
      <c r="N188" s="12"/>
    </row>
    <row r="189" spans="2:18" x14ac:dyDescent="0.3">
      <c r="B189" s="59" t="s">
        <v>166</v>
      </c>
      <c r="C189" s="33">
        <f>C93/1000</f>
        <v>0.84073459078995461</v>
      </c>
      <c r="D189" s="12" t="s">
        <v>75</v>
      </c>
      <c r="E189" s="59"/>
      <c r="G189" s="12"/>
      <c r="I189" s="59" t="s">
        <v>166</v>
      </c>
      <c r="J189" s="33">
        <v>0.84073459078995461</v>
      </c>
      <c r="K189" s="12" t="s">
        <v>75</v>
      </c>
      <c r="L189" s="59"/>
      <c r="N189" s="12"/>
    </row>
    <row r="190" spans="2:18" x14ac:dyDescent="0.3">
      <c r="B190" s="59" t="s">
        <v>167</v>
      </c>
      <c r="C190" s="29">
        <f>C84</f>
        <v>954</v>
      </c>
      <c r="D190" s="12"/>
      <c r="E190" s="59"/>
      <c r="G190" s="12"/>
      <c r="I190" s="59" t="s">
        <v>167</v>
      </c>
      <c r="J190" s="29">
        <v>954</v>
      </c>
      <c r="K190" s="12"/>
      <c r="L190" s="59"/>
      <c r="N190" s="12"/>
    </row>
    <row r="191" spans="2:18" x14ac:dyDescent="0.3">
      <c r="B191" s="59" t="s">
        <v>168</v>
      </c>
      <c r="C191" s="29">
        <f>C122</f>
        <v>3737.9873509895524</v>
      </c>
      <c r="D191" s="12" t="s">
        <v>114</v>
      </c>
      <c r="E191" s="59" t="s">
        <v>169</v>
      </c>
      <c r="F191" s="29">
        <f>C143</f>
        <v>2014.2585156401262</v>
      </c>
      <c r="G191" s="12" t="s">
        <v>114</v>
      </c>
      <c r="I191" s="59" t="s">
        <v>168</v>
      </c>
      <c r="J191" s="29">
        <v>3737.9873509895524</v>
      </c>
      <c r="K191" s="12" t="s">
        <v>114</v>
      </c>
      <c r="L191" s="59" t="s">
        <v>169</v>
      </c>
      <c r="M191" s="29">
        <v>2014.2585156401262</v>
      </c>
      <c r="N191" s="12" t="s">
        <v>114</v>
      </c>
    </row>
    <row r="192" spans="2:18" x14ac:dyDescent="0.3">
      <c r="B192" s="59" t="s">
        <v>170</v>
      </c>
      <c r="C192" s="29">
        <f>C167</f>
        <v>6.7785301970252272</v>
      </c>
      <c r="D192" s="12" t="s">
        <v>144</v>
      </c>
      <c r="E192" s="59" t="s">
        <v>171</v>
      </c>
      <c r="F192" s="51">
        <f>C172</f>
        <v>69.879397277030876</v>
      </c>
      <c r="G192" s="12" t="s">
        <v>144</v>
      </c>
      <c r="I192" s="59" t="s">
        <v>170</v>
      </c>
      <c r="J192" s="29">
        <v>6.7785301970252272</v>
      </c>
      <c r="K192" s="12" t="s">
        <v>144</v>
      </c>
      <c r="L192" s="59" t="s">
        <v>171</v>
      </c>
      <c r="M192" s="51">
        <v>69.879397277030876</v>
      </c>
      <c r="N192" s="12" t="s">
        <v>144</v>
      </c>
    </row>
    <row r="193" spans="2:14" ht="15" thickBot="1" x14ac:dyDescent="0.35">
      <c r="B193" s="26"/>
      <c r="C193" s="27"/>
      <c r="D193" s="28"/>
      <c r="E193" s="26"/>
      <c r="F193" s="27"/>
      <c r="G193" s="28"/>
      <c r="I193" s="26"/>
      <c r="J193" s="27"/>
      <c r="K193" s="28"/>
      <c r="L193" s="26"/>
      <c r="M193" s="27"/>
      <c r="N193" s="28"/>
    </row>
  </sheetData>
  <mergeCells count="13">
    <mergeCell ref="C19:D19"/>
    <mergeCell ref="E19:F19"/>
    <mergeCell ref="J21:K21"/>
    <mergeCell ref="M21:N21"/>
    <mergeCell ref="R109:R110"/>
    <mergeCell ref="S109:W109"/>
    <mergeCell ref="AG3:AO6"/>
    <mergeCell ref="C11:D11"/>
    <mergeCell ref="E11:F11"/>
    <mergeCell ref="C12:D12"/>
    <mergeCell ref="E12:F12"/>
    <mergeCell ref="J15:K15"/>
    <mergeCell ref="M15:N15"/>
  </mergeCells>
  <dataValidations count="2">
    <dataValidation type="list" allowBlank="1" showInputMessage="1" showErrorMessage="1" sqref="D77" xr:uid="{3DED0A31-E972-4183-98AF-24B80E91669E}">
      <formula1>$X$132:$X$133</formula1>
    </dataValidation>
    <dataValidation type="list" allowBlank="1" showInputMessage="1" showErrorMessage="1" sqref="C52" xr:uid="{67D37093-6578-4E12-B615-E2FF8B5EF127}">
      <formula1>$J$87:$N$87</formula1>
    </dataValidation>
  </dataValidations>
  <hyperlinks>
    <hyperlink ref="G17" location="'Table 19.2 Fouling Resistance'!A1" display="(Ref. Table)" xr:uid="{D9EE3FB8-F2A6-45D7-BF23-5397489DEC6D}"/>
    <hyperlink ref="E36" location="'Figure 19.1 Overall h.t.c.'!A1" display="(Ref. Figure)" xr:uid="{3717C8F5-8D67-465F-9DEC-6723A167839A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Singh</dc:creator>
  <cp:lastModifiedBy>Ajit Singh</cp:lastModifiedBy>
  <dcterms:created xsi:type="dcterms:W3CDTF">2026-07-02T16:10:19Z</dcterms:created>
  <dcterms:modified xsi:type="dcterms:W3CDTF">2026-07-02T16:11:09Z</dcterms:modified>
</cp:coreProperties>
</file>